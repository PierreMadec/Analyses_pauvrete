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err\Documents\BdF 2017\BDF 2017\Csv\"/>
    </mc:Choice>
  </mc:AlternateContent>
  <xr:revisionPtr revIDLastSave="0" documentId="8_{A23178C2-96FE-48C6-B21C-A2A4380168EB}" xr6:coauthVersionLast="47" xr6:coauthVersionMax="47" xr10:uidLastSave="{00000000-0000-0000-0000-000000000000}"/>
  <bookViews>
    <workbookView xWindow="-108" yWindow="-108" windowWidth="23256" windowHeight="14616" activeTab="1" xr2:uid="{0D008437-036D-4CDA-B268-ECD7F4AD629A}"/>
  </bookViews>
  <sheets>
    <sheet name="Règles Indexation" sheetId="1" r:id="rId1"/>
    <sheet name="Feuil1" sheetId="3" r:id="rId2"/>
    <sheet name="Feuil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3" l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3" i="3"/>
  <c r="P53" i="3"/>
  <c r="O53" i="3"/>
  <c r="N53" i="3"/>
  <c r="M53" i="3"/>
  <c r="K53" i="3"/>
  <c r="J53" i="3"/>
  <c r="I53" i="3"/>
  <c r="H53" i="3"/>
  <c r="G53" i="3"/>
  <c r="F53" i="3"/>
  <c r="E53" i="3"/>
  <c r="D53" i="3"/>
  <c r="C53" i="3"/>
  <c r="Q50" i="3"/>
  <c r="L50" i="3"/>
  <c r="P41" i="3"/>
  <c r="O41" i="3"/>
  <c r="N41" i="3"/>
  <c r="M41" i="3"/>
  <c r="K41" i="3"/>
  <c r="J41" i="3"/>
  <c r="I41" i="3"/>
  <c r="H41" i="3"/>
  <c r="G41" i="3"/>
  <c r="F41" i="3"/>
  <c r="E41" i="3"/>
  <c r="D41" i="3"/>
  <c r="C41" i="3"/>
  <c r="Q38" i="3"/>
  <c r="L38" i="3"/>
  <c r="P29" i="3"/>
  <c r="O29" i="3"/>
  <c r="N29" i="3"/>
  <c r="M29" i="3"/>
  <c r="K29" i="3"/>
  <c r="J29" i="3"/>
  <c r="I29" i="3"/>
  <c r="H29" i="3"/>
  <c r="G29" i="3"/>
  <c r="F29" i="3"/>
  <c r="E29" i="3"/>
  <c r="D29" i="3"/>
  <c r="C29" i="3"/>
  <c r="Q26" i="3"/>
  <c r="L26" i="3"/>
  <c r="P17" i="3"/>
  <c r="O17" i="3"/>
  <c r="N17" i="3"/>
  <c r="M17" i="3"/>
  <c r="K17" i="3"/>
  <c r="J17" i="3"/>
  <c r="I17" i="3"/>
  <c r="H17" i="3"/>
  <c r="G17" i="3"/>
  <c r="F17" i="3"/>
  <c r="E17" i="3"/>
  <c r="D17" i="3"/>
  <c r="C17" i="3"/>
  <c r="Q14" i="3"/>
  <c r="L14" i="3"/>
  <c r="P5" i="3"/>
  <c r="O5" i="3"/>
  <c r="N5" i="3"/>
  <c r="M5" i="3"/>
  <c r="K5" i="3"/>
  <c r="J5" i="3"/>
  <c r="I5" i="3"/>
  <c r="H5" i="3"/>
  <c r="G5" i="3"/>
  <c r="F5" i="3"/>
  <c r="E5" i="3"/>
  <c r="D5" i="3"/>
  <c r="C5" i="3"/>
  <c r="Q2" i="3"/>
  <c r="L2" i="3"/>
  <c r="OD22" i="2"/>
  <c r="OE22" i="2" s="1"/>
  <c r="OD21" i="2"/>
  <c r="OE21" i="2" s="1"/>
  <c r="OD20" i="2"/>
  <c r="OE20" i="2" s="1"/>
  <c r="OA22" i="2"/>
  <c r="OB22" i="2" s="1"/>
  <c r="OA21" i="2"/>
  <c r="OB21" i="2" s="1"/>
  <c r="OA20" i="2"/>
  <c r="OB20" i="2" s="1"/>
  <c r="NX22" i="2"/>
  <c r="NY22" i="2" s="1"/>
  <c r="NX21" i="2"/>
  <c r="NY21" i="2" s="1"/>
  <c r="NX20" i="2"/>
  <c r="NY20" i="2" s="1"/>
  <c r="NU22" i="2"/>
  <c r="NV22" i="2" s="1"/>
  <c r="NU21" i="2"/>
  <c r="NV21" i="2" s="1"/>
  <c r="NU20" i="2"/>
  <c r="NV20" i="2" s="1"/>
  <c r="NR22" i="2"/>
  <c r="NS22" i="2" s="1"/>
  <c r="NR21" i="2"/>
  <c r="NS21" i="2" s="1"/>
  <c r="NR20" i="2"/>
  <c r="NS20" i="2" s="1"/>
  <c r="NO22" i="2"/>
  <c r="NP22" i="2" s="1"/>
  <c r="NO21" i="2"/>
  <c r="NP21" i="2" s="1"/>
  <c r="NO20" i="2"/>
  <c r="NP20" i="2" s="1"/>
  <c r="NL22" i="2"/>
  <c r="NM22" i="2" s="1"/>
  <c r="NL21" i="2"/>
  <c r="NM21" i="2" s="1"/>
  <c r="NL20" i="2"/>
  <c r="NM20" i="2" s="1"/>
  <c r="NI22" i="2"/>
  <c r="NJ22" i="2" s="1"/>
  <c r="NI21" i="2"/>
  <c r="NJ21" i="2" s="1"/>
  <c r="NI20" i="2"/>
  <c r="NJ20" i="2" s="1"/>
  <c r="NF22" i="2"/>
  <c r="NG22" i="2" s="1"/>
  <c r="NF21" i="2"/>
  <c r="NG21" i="2" s="1"/>
  <c r="NF20" i="2"/>
  <c r="NG20" i="2" s="1"/>
  <c r="NC22" i="2"/>
  <c r="ND22" i="2" s="1"/>
  <c r="NC21" i="2"/>
  <c r="ND21" i="2" s="1"/>
  <c r="NC20" i="2"/>
  <c r="ND20" i="2" s="1"/>
  <c r="MZ22" i="2"/>
  <c r="NA22" i="2" s="1"/>
  <c r="MZ21" i="2"/>
  <c r="NA21" i="2" s="1"/>
  <c r="MZ20" i="2"/>
  <c r="NA20" i="2" s="1"/>
  <c r="MW22" i="2"/>
  <c r="MX22" i="2" s="1"/>
  <c r="MW21" i="2"/>
  <c r="MX21" i="2" s="1"/>
  <c r="MW20" i="2"/>
  <c r="MX20" i="2" s="1"/>
  <c r="MT22" i="2"/>
  <c r="MU22" i="2" s="1"/>
  <c r="MT21" i="2"/>
  <c r="MU21" i="2" s="1"/>
  <c r="MT20" i="2"/>
  <c r="MU20" i="2" s="1"/>
  <c r="MQ22" i="2"/>
  <c r="MR22" i="2" s="1"/>
  <c r="MQ21" i="2"/>
  <c r="MR21" i="2" s="1"/>
  <c r="MQ20" i="2"/>
  <c r="MR20" i="2" s="1"/>
  <c r="MN22" i="2"/>
  <c r="MO22" i="2" s="1"/>
  <c r="MN21" i="2"/>
  <c r="MO21" i="2" s="1"/>
  <c r="MN20" i="2"/>
  <c r="MO20" i="2" s="1"/>
  <c r="MK22" i="2"/>
  <c r="ML22" i="2" s="1"/>
  <c r="MK21" i="2"/>
  <c r="ML21" i="2" s="1"/>
  <c r="MK20" i="2"/>
  <c r="ML20" i="2" s="1"/>
  <c r="MH22" i="2"/>
  <c r="MI22" i="2" s="1"/>
  <c r="MH21" i="2"/>
  <c r="MI21" i="2" s="1"/>
  <c r="MH20" i="2"/>
  <c r="MI20" i="2" s="1"/>
  <c r="ME22" i="2"/>
  <c r="MF22" i="2" s="1"/>
  <c r="ME21" i="2"/>
  <c r="MF21" i="2" s="1"/>
  <c r="ME20" i="2"/>
  <c r="MF20" i="2" s="1"/>
  <c r="MB22" i="2"/>
  <c r="MC22" i="2" s="1"/>
  <c r="MB21" i="2"/>
  <c r="MC21" i="2" s="1"/>
  <c r="MB20" i="2"/>
  <c r="MC20" i="2" s="1"/>
  <c r="LY22" i="2"/>
  <c r="LZ22" i="2" s="1"/>
  <c r="LY21" i="2"/>
  <c r="LZ21" i="2" s="1"/>
  <c r="LY20" i="2"/>
  <c r="LZ20" i="2" s="1"/>
  <c r="LW20" i="2"/>
  <c r="LW21" i="2"/>
  <c r="LW22" i="2"/>
  <c r="LV21" i="2"/>
  <c r="LV22" i="2"/>
  <c r="LV20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AF14" i="2"/>
  <c r="AG14" i="2"/>
  <c r="AH14" i="2"/>
  <c r="AI14" i="2"/>
  <c r="AJ14" i="2"/>
  <c r="AK14" i="2"/>
  <c r="AL14" i="2"/>
  <c r="AM14" i="2"/>
  <c r="AN14" i="2"/>
  <c r="AO14" i="2"/>
  <c r="AP14" i="2"/>
  <c r="AQ14" i="2"/>
  <c r="AR14" i="2"/>
  <c r="AS14" i="2"/>
  <c r="AT14" i="2"/>
  <c r="AU14" i="2"/>
  <c r="AV14" i="2"/>
  <c r="AW14" i="2"/>
  <c r="AX14" i="2"/>
  <c r="AY14" i="2"/>
  <c r="AZ14" i="2"/>
  <c r="BA14" i="2"/>
  <c r="BB14" i="2"/>
  <c r="BC14" i="2"/>
  <c r="BD14" i="2"/>
  <c r="BE14" i="2"/>
  <c r="BF14" i="2"/>
  <c r="BG14" i="2"/>
  <c r="BH14" i="2"/>
  <c r="BI14" i="2"/>
  <c r="BJ14" i="2"/>
  <c r="BK14" i="2"/>
  <c r="BL14" i="2"/>
  <c r="BM14" i="2"/>
  <c r="BN14" i="2"/>
  <c r="BO14" i="2"/>
  <c r="BP14" i="2"/>
  <c r="BQ14" i="2"/>
  <c r="BR14" i="2"/>
  <c r="BS14" i="2"/>
  <c r="BT14" i="2"/>
  <c r="BU14" i="2"/>
  <c r="BV14" i="2"/>
  <c r="BW14" i="2"/>
  <c r="BX14" i="2"/>
  <c r="BY14" i="2"/>
  <c r="BZ14" i="2"/>
  <c r="CA14" i="2"/>
  <c r="CB14" i="2"/>
  <c r="CC14" i="2"/>
  <c r="CD14" i="2"/>
  <c r="CE14" i="2"/>
  <c r="CF14" i="2"/>
  <c r="CG14" i="2"/>
  <c r="CH14" i="2"/>
  <c r="CI14" i="2"/>
  <c r="CJ14" i="2"/>
  <c r="CK14" i="2"/>
  <c r="CL14" i="2"/>
  <c r="CM14" i="2"/>
  <c r="CN14" i="2"/>
  <c r="CO14" i="2"/>
  <c r="CP14" i="2"/>
  <c r="CQ14" i="2"/>
  <c r="CR14" i="2"/>
  <c r="CS14" i="2"/>
  <c r="CT14" i="2"/>
  <c r="CU14" i="2"/>
  <c r="CV14" i="2"/>
  <c r="CW14" i="2"/>
  <c r="CX14" i="2"/>
  <c r="CY14" i="2"/>
  <c r="CZ14" i="2"/>
  <c r="DA14" i="2"/>
  <c r="DB14" i="2"/>
  <c r="DC14" i="2"/>
  <c r="DD14" i="2"/>
  <c r="DE14" i="2"/>
  <c r="DF14" i="2"/>
  <c r="DG14" i="2"/>
  <c r="DH14" i="2"/>
  <c r="DI14" i="2"/>
  <c r="DJ14" i="2"/>
  <c r="DK14" i="2"/>
  <c r="DL14" i="2"/>
  <c r="DM14" i="2"/>
  <c r="DN14" i="2"/>
  <c r="DO14" i="2"/>
  <c r="DP14" i="2"/>
  <c r="DQ14" i="2"/>
  <c r="DR14" i="2"/>
  <c r="DS14" i="2"/>
  <c r="DT14" i="2"/>
  <c r="DU14" i="2"/>
  <c r="DV14" i="2"/>
  <c r="DW14" i="2"/>
  <c r="DX14" i="2"/>
  <c r="DY14" i="2"/>
  <c r="DZ14" i="2"/>
  <c r="EA14" i="2"/>
  <c r="EB14" i="2"/>
  <c r="EC14" i="2"/>
  <c r="ED14" i="2"/>
  <c r="EE14" i="2"/>
  <c r="EF14" i="2"/>
  <c r="EG14" i="2"/>
  <c r="EH14" i="2"/>
  <c r="EI14" i="2"/>
  <c r="EJ14" i="2"/>
  <c r="EK14" i="2"/>
  <c r="EL14" i="2"/>
  <c r="EM14" i="2"/>
  <c r="EN14" i="2"/>
  <c r="EO14" i="2"/>
  <c r="EP14" i="2"/>
  <c r="EQ14" i="2"/>
  <c r="ER14" i="2"/>
  <c r="ES14" i="2"/>
  <c r="ET14" i="2"/>
  <c r="EU14" i="2"/>
  <c r="EV14" i="2"/>
  <c r="EW14" i="2"/>
  <c r="EX14" i="2"/>
  <c r="EY14" i="2"/>
  <c r="EZ14" i="2"/>
  <c r="FA14" i="2"/>
  <c r="FB14" i="2"/>
  <c r="FC14" i="2"/>
  <c r="FD14" i="2"/>
  <c r="FE14" i="2"/>
  <c r="FF14" i="2"/>
  <c r="FG14" i="2"/>
  <c r="FH14" i="2"/>
  <c r="FI14" i="2"/>
  <c r="FJ14" i="2"/>
  <c r="FK14" i="2"/>
  <c r="FL14" i="2"/>
  <c r="FM14" i="2"/>
  <c r="FN14" i="2"/>
  <c r="FO14" i="2"/>
  <c r="FP14" i="2"/>
  <c r="FQ14" i="2"/>
  <c r="FR14" i="2"/>
  <c r="FS14" i="2"/>
  <c r="FT14" i="2"/>
  <c r="FU14" i="2"/>
  <c r="FV14" i="2"/>
  <c r="FW14" i="2"/>
  <c r="FX14" i="2"/>
  <c r="FY14" i="2"/>
  <c r="FZ14" i="2"/>
  <c r="GA14" i="2"/>
  <c r="GB14" i="2"/>
  <c r="GC14" i="2"/>
  <c r="GD14" i="2"/>
  <c r="GE14" i="2"/>
  <c r="GF14" i="2"/>
  <c r="GG14" i="2"/>
  <c r="GH14" i="2"/>
  <c r="GI14" i="2"/>
  <c r="GJ14" i="2"/>
  <c r="GK14" i="2"/>
  <c r="GL14" i="2"/>
  <c r="GM14" i="2"/>
  <c r="GN14" i="2"/>
  <c r="GO14" i="2"/>
  <c r="GP14" i="2"/>
  <c r="GQ14" i="2"/>
  <c r="GR14" i="2"/>
  <c r="GS14" i="2"/>
  <c r="GT14" i="2"/>
  <c r="GU14" i="2"/>
  <c r="GV14" i="2"/>
  <c r="GW14" i="2"/>
  <c r="GX14" i="2"/>
  <c r="GY14" i="2"/>
  <c r="GZ14" i="2"/>
  <c r="HA14" i="2"/>
  <c r="HB14" i="2"/>
  <c r="HC14" i="2"/>
  <c r="HD14" i="2"/>
  <c r="HE14" i="2"/>
  <c r="HF14" i="2"/>
  <c r="HG14" i="2"/>
  <c r="HH14" i="2"/>
  <c r="HI14" i="2"/>
  <c r="HJ14" i="2"/>
  <c r="HK14" i="2"/>
  <c r="HL14" i="2"/>
  <c r="HM14" i="2"/>
  <c r="HN14" i="2"/>
  <c r="HO14" i="2"/>
  <c r="HP14" i="2"/>
  <c r="HQ14" i="2"/>
  <c r="HR14" i="2"/>
  <c r="HS14" i="2"/>
  <c r="HT14" i="2"/>
  <c r="HU14" i="2"/>
  <c r="HV14" i="2"/>
  <c r="HW14" i="2"/>
  <c r="HX14" i="2"/>
  <c r="HY14" i="2"/>
  <c r="HZ14" i="2"/>
  <c r="IA14" i="2"/>
  <c r="IB14" i="2"/>
  <c r="IC14" i="2"/>
  <c r="ID14" i="2"/>
  <c r="IE14" i="2"/>
  <c r="IF14" i="2"/>
  <c r="IG14" i="2"/>
  <c r="IH14" i="2"/>
  <c r="II14" i="2"/>
  <c r="IJ14" i="2"/>
  <c r="IK14" i="2"/>
  <c r="IL14" i="2"/>
  <c r="IM14" i="2"/>
  <c r="IN14" i="2"/>
  <c r="IO14" i="2"/>
  <c r="IP14" i="2"/>
  <c r="IQ14" i="2"/>
  <c r="IR14" i="2"/>
  <c r="IS14" i="2"/>
  <c r="IT14" i="2"/>
  <c r="IU14" i="2"/>
  <c r="IV14" i="2"/>
  <c r="IW14" i="2"/>
  <c r="IX14" i="2"/>
  <c r="IY14" i="2"/>
  <c r="IZ14" i="2"/>
  <c r="JA14" i="2"/>
  <c r="JB14" i="2"/>
  <c r="JC14" i="2"/>
  <c r="JD14" i="2"/>
  <c r="JE14" i="2"/>
  <c r="JF14" i="2"/>
  <c r="JG14" i="2"/>
  <c r="JH14" i="2"/>
  <c r="JI14" i="2"/>
  <c r="JJ14" i="2"/>
  <c r="JK14" i="2"/>
  <c r="JL14" i="2"/>
  <c r="JM14" i="2"/>
  <c r="JN14" i="2"/>
  <c r="JO14" i="2"/>
  <c r="JP14" i="2"/>
  <c r="JQ14" i="2"/>
  <c r="JR14" i="2"/>
  <c r="JS14" i="2"/>
  <c r="JT14" i="2"/>
  <c r="JU14" i="2"/>
  <c r="JV14" i="2"/>
  <c r="JW14" i="2"/>
  <c r="JX14" i="2"/>
  <c r="JY14" i="2"/>
  <c r="JZ14" i="2"/>
  <c r="KA14" i="2"/>
  <c r="KB14" i="2"/>
  <c r="KC14" i="2"/>
  <c r="KD14" i="2"/>
  <c r="KE14" i="2"/>
  <c r="KF14" i="2"/>
  <c r="KG14" i="2"/>
  <c r="KH14" i="2"/>
  <c r="KI14" i="2"/>
  <c r="KJ14" i="2"/>
  <c r="KK14" i="2"/>
  <c r="KL14" i="2"/>
  <c r="KM14" i="2"/>
  <c r="KN14" i="2"/>
  <c r="KO14" i="2"/>
  <c r="KP14" i="2"/>
  <c r="KQ14" i="2"/>
  <c r="KR14" i="2"/>
  <c r="KS14" i="2"/>
  <c r="KT14" i="2"/>
  <c r="KU14" i="2"/>
  <c r="KV14" i="2"/>
  <c r="KW14" i="2"/>
  <c r="KX14" i="2"/>
  <c r="KY14" i="2"/>
  <c r="KZ14" i="2"/>
  <c r="LA14" i="2"/>
  <c r="LB14" i="2"/>
  <c r="LC14" i="2"/>
  <c r="LD14" i="2"/>
  <c r="LE14" i="2"/>
  <c r="LF14" i="2"/>
  <c r="LG14" i="2"/>
  <c r="LH14" i="2"/>
  <c r="LI14" i="2"/>
  <c r="LJ14" i="2"/>
  <c r="LK14" i="2"/>
  <c r="LL14" i="2"/>
  <c r="LM14" i="2"/>
  <c r="LN14" i="2"/>
  <c r="LO14" i="2"/>
  <c r="LP14" i="2"/>
  <c r="LQ14" i="2"/>
  <c r="LR14" i="2"/>
  <c r="LS14" i="2"/>
  <c r="LT14" i="2"/>
  <c r="LU14" i="2"/>
  <c r="LV14" i="2"/>
  <c r="LW14" i="2"/>
  <c r="LX14" i="2"/>
  <c r="LY14" i="2"/>
  <c r="LZ14" i="2"/>
  <c r="MA14" i="2"/>
  <c r="MB14" i="2"/>
  <c r="MC14" i="2"/>
  <c r="MD14" i="2"/>
  <c r="ME14" i="2"/>
  <c r="MF14" i="2"/>
  <c r="MG14" i="2"/>
  <c r="MH14" i="2"/>
  <c r="MI14" i="2"/>
  <c r="MJ14" i="2"/>
  <c r="MK14" i="2"/>
  <c r="ML14" i="2"/>
  <c r="MM14" i="2"/>
  <c r="MN14" i="2"/>
  <c r="MO14" i="2"/>
  <c r="MP14" i="2"/>
  <c r="MQ14" i="2"/>
  <c r="MR14" i="2"/>
  <c r="MS14" i="2"/>
  <c r="MT14" i="2"/>
  <c r="MU14" i="2"/>
  <c r="MV14" i="2"/>
  <c r="MW14" i="2"/>
  <c r="MX14" i="2"/>
  <c r="MY14" i="2"/>
  <c r="MZ14" i="2"/>
  <c r="NA14" i="2"/>
  <c r="NB14" i="2"/>
  <c r="NC14" i="2"/>
  <c r="ND14" i="2"/>
  <c r="NE14" i="2"/>
  <c r="NF14" i="2"/>
  <c r="NG14" i="2"/>
  <c r="NH14" i="2"/>
  <c r="NI14" i="2"/>
  <c r="NJ14" i="2"/>
  <c r="NK14" i="2"/>
  <c r="NL14" i="2"/>
  <c r="NM14" i="2"/>
  <c r="NN14" i="2"/>
  <c r="NO14" i="2"/>
  <c r="NP14" i="2"/>
  <c r="NQ14" i="2"/>
  <c r="NR14" i="2"/>
  <c r="NS14" i="2"/>
  <c r="NT14" i="2"/>
  <c r="NU14" i="2"/>
  <c r="NV14" i="2"/>
  <c r="NW14" i="2"/>
  <c r="NX14" i="2"/>
  <c r="NY14" i="2"/>
  <c r="NZ14" i="2"/>
  <c r="OA14" i="2"/>
  <c r="R15" i="2"/>
  <c r="S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AT15" i="2"/>
  <c r="AU15" i="2"/>
  <c r="AV15" i="2"/>
  <c r="AW15" i="2"/>
  <c r="AX15" i="2"/>
  <c r="AY15" i="2"/>
  <c r="AZ15" i="2"/>
  <c r="BA15" i="2"/>
  <c r="BB15" i="2"/>
  <c r="BC15" i="2"/>
  <c r="BD15" i="2"/>
  <c r="BE15" i="2"/>
  <c r="BF15" i="2"/>
  <c r="BG15" i="2"/>
  <c r="BH15" i="2"/>
  <c r="BI15" i="2"/>
  <c r="BJ15" i="2"/>
  <c r="BK15" i="2"/>
  <c r="BL15" i="2"/>
  <c r="BM15" i="2"/>
  <c r="BN15" i="2"/>
  <c r="BO15" i="2"/>
  <c r="BP15" i="2"/>
  <c r="BQ15" i="2"/>
  <c r="BR15" i="2"/>
  <c r="BS15" i="2"/>
  <c r="BT15" i="2"/>
  <c r="BU15" i="2"/>
  <c r="BV15" i="2"/>
  <c r="BW15" i="2"/>
  <c r="BX15" i="2"/>
  <c r="BY15" i="2"/>
  <c r="BZ15" i="2"/>
  <c r="CA15" i="2"/>
  <c r="CB15" i="2"/>
  <c r="CC15" i="2"/>
  <c r="CD15" i="2"/>
  <c r="CE15" i="2"/>
  <c r="CF15" i="2"/>
  <c r="CG15" i="2"/>
  <c r="CH15" i="2"/>
  <c r="CI15" i="2"/>
  <c r="CJ15" i="2"/>
  <c r="CK15" i="2"/>
  <c r="CL15" i="2"/>
  <c r="CM15" i="2"/>
  <c r="CN15" i="2"/>
  <c r="CO15" i="2"/>
  <c r="CP15" i="2"/>
  <c r="CQ15" i="2"/>
  <c r="CR15" i="2"/>
  <c r="CS15" i="2"/>
  <c r="CT15" i="2"/>
  <c r="CU15" i="2"/>
  <c r="CV15" i="2"/>
  <c r="CW15" i="2"/>
  <c r="CX15" i="2"/>
  <c r="CY15" i="2"/>
  <c r="CZ15" i="2"/>
  <c r="DA15" i="2"/>
  <c r="DB15" i="2"/>
  <c r="DC15" i="2"/>
  <c r="DD15" i="2"/>
  <c r="DE15" i="2"/>
  <c r="DF15" i="2"/>
  <c r="DG15" i="2"/>
  <c r="DH15" i="2"/>
  <c r="DI15" i="2"/>
  <c r="DJ15" i="2"/>
  <c r="DK15" i="2"/>
  <c r="DL15" i="2"/>
  <c r="DM15" i="2"/>
  <c r="DN15" i="2"/>
  <c r="DO15" i="2"/>
  <c r="DP15" i="2"/>
  <c r="DQ15" i="2"/>
  <c r="DR15" i="2"/>
  <c r="DS15" i="2"/>
  <c r="DT15" i="2"/>
  <c r="DU15" i="2"/>
  <c r="DV15" i="2"/>
  <c r="DW15" i="2"/>
  <c r="DX15" i="2"/>
  <c r="DY15" i="2"/>
  <c r="DZ15" i="2"/>
  <c r="EA15" i="2"/>
  <c r="EB15" i="2"/>
  <c r="EC15" i="2"/>
  <c r="ED15" i="2"/>
  <c r="EE15" i="2"/>
  <c r="EF15" i="2"/>
  <c r="EG15" i="2"/>
  <c r="EH15" i="2"/>
  <c r="EI15" i="2"/>
  <c r="EJ15" i="2"/>
  <c r="EK15" i="2"/>
  <c r="EL15" i="2"/>
  <c r="EM15" i="2"/>
  <c r="EN15" i="2"/>
  <c r="EO15" i="2"/>
  <c r="EP15" i="2"/>
  <c r="EQ15" i="2"/>
  <c r="ER15" i="2"/>
  <c r="ES15" i="2"/>
  <c r="ET15" i="2"/>
  <c r="EU15" i="2"/>
  <c r="EV15" i="2"/>
  <c r="EW15" i="2"/>
  <c r="EX15" i="2"/>
  <c r="EY15" i="2"/>
  <c r="EZ15" i="2"/>
  <c r="FA15" i="2"/>
  <c r="FB15" i="2"/>
  <c r="FC15" i="2"/>
  <c r="FD15" i="2"/>
  <c r="FE15" i="2"/>
  <c r="FF15" i="2"/>
  <c r="FG15" i="2"/>
  <c r="FH15" i="2"/>
  <c r="FI15" i="2"/>
  <c r="FJ15" i="2"/>
  <c r="FK15" i="2"/>
  <c r="FL15" i="2"/>
  <c r="FM15" i="2"/>
  <c r="FN15" i="2"/>
  <c r="FO15" i="2"/>
  <c r="FP15" i="2"/>
  <c r="FQ15" i="2"/>
  <c r="FR15" i="2"/>
  <c r="FS15" i="2"/>
  <c r="FT15" i="2"/>
  <c r="FU15" i="2"/>
  <c r="FV15" i="2"/>
  <c r="FW15" i="2"/>
  <c r="FX15" i="2"/>
  <c r="FY15" i="2"/>
  <c r="FZ15" i="2"/>
  <c r="GA15" i="2"/>
  <c r="GB15" i="2"/>
  <c r="GC15" i="2"/>
  <c r="GD15" i="2"/>
  <c r="GE15" i="2"/>
  <c r="GF15" i="2"/>
  <c r="GG15" i="2"/>
  <c r="GH15" i="2"/>
  <c r="GI15" i="2"/>
  <c r="GJ15" i="2"/>
  <c r="GK15" i="2"/>
  <c r="GL15" i="2"/>
  <c r="GM15" i="2"/>
  <c r="GN15" i="2"/>
  <c r="GO15" i="2"/>
  <c r="GP15" i="2"/>
  <c r="GQ15" i="2"/>
  <c r="GR15" i="2"/>
  <c r="GS15" i="2"/>
  <c r="GT15" i="2"/>
  <c r="GU15" i="2"/>
  <c r="GV15" i="2"/>
  <c r="GW15" i="2"/>
  <c r="GX15" i="2"/>
  <c r="GY15" i="2"/>
  <c r="GZ15" i="2"/>
  <c r="HA15" i="2"/>
  <c r="HB15" i="2"/>
  <c r="HC15" i="2"/>
  <c r="HD15" i="2"/>
  <c r="HE15" i="2"/>
  <c r="HF15" i="2"/>
  <c r="HG15" i="2"/>
  <c r="HH15" i="2"/>
  <c r="HI15" i="2"/>
  <c r="HJ15" i="2"/>
  <c r="HK15" i="2"/>
  <c r="HL15" i="2"/>
  <c r="HM15" i="2"/>
  <c r="HN15" i="2"/>
  <c r="HO15" i="2"/>
  <c r="HP15" i="2"/>
  <c r="HQ15" i="2"/>
  <c r="HR15" i="2"/>
  <c r="HS15" i="2"/>
  <c r="HT15" i="2"/>
  <c r="HU15" i="2"/>
  <c r="HV15" i="2"/>
  <c r="HW15" i="2"/>
  <c r="HX15" i="2"/>
  <c r="HY15" i="2"/>
  <c r="HZ15" i="2"/>
  <c r="IA15" i="2"/>
  <c r="IB15" i="2"/>
  <c r="IC15" i="2"/>
  <c r="ID15" i="2"/>
  <c r="IE15" i="2"/>
  <c r="IF15" i="2"/>
  <c r="IG15" i="2"/>
  <c r="IH15" i="2"/>
  <c r="II15" i="2"/>
  <c r="IJ15" i="2"/>
  <c r="IK15" i="2"/>
  <c r="IL15" i="2"/>
  <c r="IM15" i="2"/>
  <c r="IN15" i="2"/>
  <c r="IO15" i="2"/>
  <c r="IP15" i="2"/>
  <c r="IQ15" i="2"/>
  <c r="IR15" i="2"/>
  <c r="IS15" i="2"/>
  <c r="IT15" i="2"/>
  <c r="IU15" i="2"/>
  <c r="IV15" i="2"/>
  <c r="IW15" i="2"/>
  <c r="IX15" i="2"/>
  <c r="IY15" i="2"/>
  <c r="IZ15" i="2"/>
  <c r="JA15" i="2"/>
  <c r="JB15" i="2"/>
  <c r="JC15" i="2"/>
  <c r="JD15" i="2"/>
  <c r="JE15" i="2"/>
  <c r="JF15" i="2"/>
  <c r="JG15" i="2"/>
  <c r="JH15" i="2"/>
  <c r="JI15" i="2"/>
  <c r="JJ15" i="2"/>
  <c r="JK15" i="2"/>
  <c r="JL15" i="2"/>
  <c r="JM15" i="2"/>
  <c r="JN15" i="2"/>
  <c r="JO15" i="2"/>
  <c r="JP15" i="2"/>
  <c r="JQ15" i="2"/>
  <c r="JR15" i="2"/>
  <c r="JS15" i="2"/>
  <c r="JT15" i="2"/>
  <c r="JU15" i="2"/>
  <c r="JV15" i="2"/>
  <c r="JW15" i="2"/>
  <c r="JX15" i="2"/>
  <c r="JY15" i="2"/>
  <c r="JZ15" i="2"/>
  <c r="KA15" i="2"/>
  <c r="KB15" i="2"/>
  <c r="KC15" i="2"/>
  <c r="KD15" i="2"/>
  <c r="KE15" i="2"/>
  <c r="KF15" i="2"/>
  <c r="KG15" i="2"/>
  <c r="KH15" i="2"/>
  <c r="KI15" i="2"/>
  <c r="KJ15" i="2"/>
  <c r="KK15" i="2"/>
  <c r="KL15" i="2"/>
  <c r="KM15" i="2"/>
  <c r="KN15" i="2"/>
  <c r="KO15" i="2"/>
  <c r="KP15" i="2"/>
  <c r="KQ15" i="2"/>
  <c r="KR15" i="2"/>
  <c r="KS15" i="2"/>
  <c r="KT15" i="2"/>
  <c r="KU15" i="2"/>
  <c r="KV15" i="2"/>
  <c r="KW15" i="2"/>
  <c r="KX15" i="2"/>
  <c r="KY15" i="2"/>
  <c r="KZ15" i="2"/>
  <c r="LA15" i="2"/>
  <c r="LB15" i="2"/>
  <c r="LC15" i="2"/>
  <c r="LD15" i="2"/>
  <c r="LE15" i="2"/>
  <c r="LF15" i="2"/>
  <c r="LG15" i="2"/>
  <c r="LH15" i="2"/>
  <c r="LI15" i="2"/>
  <c r="LJ15" i="2"/>
  <c r="LK15" i="2"/>
  <c r="LL15" i="2"/>
  <c r="LM15" i="2"/>
  <c r="LN15" i="2"/>
  <c r="LO15" i="2"/>
  <c r="LP15" i="2"/>
  <c r="LQ15" i="2"/>
  <c r="LR15" i="2"/>
  <c r="LS15" i="2"/>
  <c r="LT15" i="2"/>
  <c r="LU15" i="2"/>
  <c r="LV15" i="2"/>
  <c r="LW15" i="2"/>
  <c r="LX15" i="2"/>
  <c r="LY15" i="2"/>
  <c r="LZ15" i="2"/>
  <c r="MA15" i="2"/>
  <c r="MB15" i="2"/>
  <c r="MC15" i="2"/>
  <c r="MD15" i="2"/>
  <c r="ME15" i="2"/>
  <c r="MF15" i="2"/>
  <c r="MG15" i="2"/>
  <c r="MH15" i="2"/>
  <c r="MI15" i="2"/>
  <c r="MJ15" i="2"/>
  <c r="MK15" i="2"/>
  <c r="ML15" i="2"/>
  <c r="MM15" i="2"/>
  <c r="MN15" i="2"/>
  <c r="MO15" i="2"/>
  <c r="MP15" i="2"/>
  <c r="MQ15" i="2"/>
  <c r="MR15" i="2"/>
  <c r="MS15" i="2"/>
  <c r="MT15" i="2"/>
  <c r="MU15" i="2"/>
  <c r="MV15" i="2"/>
  <c r="MW15" i="2"/>
  <c r="MX15" i="2"/>
  <c r="MY15" i="2"/>
  <c r="MZ15" i="2"/>
  <c r="NA15" i="2"/>
  <c r="NB15" i="2"/>
  <c r="NC15" i="2"/>
  <c r="ND15" i="2"/>
  <c r="NE15" i="2"/>
  <c r="NF15" i="2"/>
  <c r="NG15" i="2"/>
  <c r="NH15" i="2"/>
  <c r="NI15" i="2"/>
  <c r="NJ15" i="2"/>
  <c r="NK15" i="2"/>
  <c r="NL15" i="2"/>
  <c r="NM15" i="2"/>
  <c r="NN15" i="2"/>
  <c r="NO15" i="2"/>
  <c r="NP15" i="2"/>
  <c r="NQ15" i="2"/>
  <c r="NR15" i="2"/>
  <c r="NS15" i="2"/>
  <c r="NT15" i="2"/>
  <c r="NU15" i="2"/>
  <c r="NV15" i="2"/>
  <c r="NW15" i="2"/>
  <c r="NX15" i="2"/>
  <c r="NY15" i="2"/>
  <c r="NZ15" i="2"/>
  <c r="OA15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AY16" i="2"/>
  <c r="AZ16" i="2"/>
  <c r="BA16" i="2"/>
  <c r="BB16" i="2"/>
  <c r="BC16" i="2"/>
  <c r="BD16" i="2"/>
  <c r="BE16" i="2"/>
  <c r="BF16" i="2"/>
  <c r="BG16" i="2"/>
  <c r="BH16" i="2"/>
  <c r="BI16" i="2"/>
  <c r="BJ16" i="2"/>
  <c r="BK16" i="2"/>
  <c r="BL16" i="2"/>
  <c r="BM16" i="2"/>
  <c r="BN16" i="2"/>
  <c r="BO16" i="2"/>
  <c r="BP16" i="2"/>
  <c r="BQ16" i="2"/>
  <c r="BR16" i="2"/>
  <c r="BS16" i="2"/>
  <c r="BT16" i="2"/>
  <c r="BU16" i="2"/>
  <c r="BV16" i="2"/>
  <c r="BW16" i="2"/>
  <c r="BX16" i="2"/>
  <c r="BY16" i="2"/>
  <c r="BZ16" i="2"/>
  <c r="CA16" i="2"/>
  <c r="CB16" i="2"/>
  <c r="CC16" i="2"/>
  <c r="CD16" i="2"/>
  <c r="CE16" i="2"/>
  <c r="CF16" i="2"/>
  <c r="CG16" i="2"/>
  <c r="CH16" i="2"/>
  <c r="CI16" i="2"/>
  <c r="CJ16" i="2"/>
  <c r="CK16" i="2"/>
  <c r="CL16" i="2"/>
  <c r="CM16" i="2"/>
  <c r="CN16" i="2"/>
  <c r="CO16" i="2"/>
  <c r="CP16" i="2"/>
  <c r="CQ16" i="2"/>
  <c r="CR16" i="2"/>
  <c r="CS16" i="2"/>
  <c r="CT16" i="2"/>
  <c r="CU16" i="2"/>
  <c r="CV16" i="2"/>
  <c r="CW16" i="2"/>
  <c r="CX16" i="2"/>
  <c r="CY16" i="2"/>
  <c r="CZ16" i="2"/>
  <c r="DA16" i="2"/>
  <c r="DB16" i="2"/>
  <c r="DC16" i="2"/>
  <c r="DD16" i="2"/>
  <c r="DE16" i="2"/>
  <c r="DF16" i="2"/>
  <c r="DG16" i="2"/>
  <c r="DH16" i="2"/>
  <c r="DI16" i="2"/>
  <c r="DJ16" i="2"/>
  <c r="DK16" i="2"/>
  <c r="DL16" i="2"/>
  <c r="DM16" i="2"/>
  <c r="DN16" i="2"/>
  <c r="DO16" i="2"/>
  <c r="DP16" i="2"/>
  <c r="DQ16" i="2"/>
  <c r="DR16" i="2"/>
  <c r="DS16" i="2"/>
  <c r="DT16" i="2"/>
  <c r="DU16" i="2"/>
  <c r="DV16" i="2"/>
  <c r="DW16" i="2"/>
  <c r="DX16" i="2"/>
  <c r="DY16" i="2"/>
  <c r="DZ16" i="2"/>
  <c r="EA16" i="2"/>
  <c r="EB16" i="2"/>
  <c r="EC16" i="2"/>
  <c r="ED16" i="2"/>
  <c r="EE16" i="2"/>
  <c r="EF16" i="2"/>
  <c r="EG16" i="2"/>
  <c r="EH16" i="2"/>
  <c r="EI16" i="2"/>
  <c r="EJ16" i="2"/>
  <c r="EK16" i="2"/>
  <c r="EL16" i="2"/>
  <c r="EM16" i="2"/>
  <c r="EN16" i="2"/>
  <c r="EO16" i="2"/>
  <c r="EP16" i="2"/>
  <c r="EQ16" i="2"/>
  <c r="ER16" i="2"/>
  <c r="ES16" i="2"/>
  <c r="ET16" i="2"/>
  <c r="EU16" i="2"/>
  <c r="EV16" i="2"/>
  <c r="EW16" i="2"/>
  <c r="EX16" i="2"/>
  <c r="EY16" i="2"/>
  <c r="EZ16" i="2"/>
  <c r="FA16" i="2"/>
  <c r="FB16" i="2"/>
  <c r="FC16" i="2"/>
  <c r="FD16" i="2"/>
  <c r="FE16" i="2"/>
  <c r="FF16" i="2"/>
  <c r="FG16" i="2"/>
  <c r="FH16" i="2"/>
  <c r="FI16" i="2"/>
  <c r="FJ16" i="2"/>
  <c r="FK16" i="2"/>
  <c r="FL16" i="2"/>
  <c r="FM16" i="2"/>
  <c r="FN16" i="2"/>
  <c r="FO16" i="2"/>
  <c r="FP16" i="2"/>
  <c r="FQ16" i="2"/>
  <c r="FR16" i="2"/>
  <c r="FS16" i="2"/>
  <c r="FT16" i="2"/>
  <c r="FU16" i="2"/>
  <c r="FV16" i="2"/>
  <c r="FW16" i="2"/>
  <c r="FX16" i="2"/>
  <c r="FY16" i="2"/>
  <c r="FZ16" i="2"/>
  <c r="GA16" i="2"/>
  <c r="GB16" i="2"/>
  <c r="GC16" i="2"/>
  <c r="GD16" i="2"/>
  <c r="GE16" i="2"/>
  <c r="GF16" i="2"/>
  <c r="GG16" i="2"/>
  <c r="GH16" i="2"/>
  <c r="GI16" i="2"/>
  <c r="GJ16" i="2"/>
  <c r="GK16" i="2"/>
  <c r="GL16" i="2"/>
  <c r="GM16" i="2"/>
  <c r="GN16" i="2"/>
  <c r="GO16" i="2"/>
  <c r="GP16" i="2"/>
  <c r="GQ16" i="2"/>
  <c r="GR16" i="2"/>
  <c r="GS16" i="2"/>
  <c r="GT16" i="2"/>
  <c r="GU16" i="2"/>
  <c r="GV16" i="2"/>
  <c r="GW16" i="2"/>
  <c r="GX16" i="2"/>
  <c r="GY16" i="2"/>
  <c r="GZ16" i="2"/>
  <c r="HA16" i="2"/>
  <c r="HB16" i="2"/>
  <c r="HC16" i="2"/>
  <c r="HD16" i="2"/>
  <c r="HE16" i="2"/>
  <c r="HF16" i="2"/>
  <c r="HG16" i="2"/>
  <c r="HH16" i="2"/>
  <c r="HI16" i="2"/>
  <c r="HJ16" i="2"/>
  <c r="HK16" i="2"/>
  <c r="HL16" i="2"/>
  <c r="HM16" i="2"/>
  <c r="HN16" i="2"/>
  <c r="HO16" i="2"/>
  <c r="HP16" i="2"/>
  <c r="HQ16" i="2"/>
  <c r="HR16" i="2"/>
  <c r="HS16" i="2"/>
  <c r="HT16" i="2"/>
  <c r="HU16" i="2"/>
  <c r="HV16" i="2"/>
  <c r="HW16" i="2"/>
  <c r="HX16" i="2"/>
  <c r="HY16" i="2"/>
  <c r="HZ16" i="2"/>
  <c r="IA16" i="2"/>
  <c r="IB16" i="2"/>
  <c r="IC16" i="2"/>
  <c r="ID16" i="2"/>
  <c r="IE16" i="2"/>
  <c r="IF16" i="2"/>
  <c r="IG16" i="2"/>
  <c r="IH16" i="2"/>
  <c r="II16" i="2"/>
  <c r="IJ16" i="2"/>
  <c r="IK16" i="2"/>
  <c r="IL16" i="2"/>
  <c r="IM16" i="2"/>
  <c r="IN16" i="2"/>
  <c r="IO16" i="2"/>
  <c r="IP16" i="2"/>
  <c r="IQ16" i="2"/>
  <c r="IR16" i="2"/>
  <c r="IS16" i="2"/>
  <c r="IT16" i="2"/>
  <c r="IU16" i="2"/>
  <c r="IV16" i="2"/>
  <c r="IW16" i="2"/>
  <c r="IX16" i="2"/>
  <c r="IY16" i="2"/>
  <c r="IZ16" i="2"/>
  <c r="JA16" i="2"/>
  <c r="JB16" i="2"/>
  <c r="JC16" i="2"/>
  <c r="JD16" i="2"/>
  <c r="JE16" i="2"/>
  <c r="JF16" i="2"/>
  <c r="JG16" i="2"/>
  <c r="JH16" i="2"/>
  <c r="JI16" i="2"/>
  <c r="JJ16" i="2"/>
  <c r="JK16" i="2"/>
  <c r="JL16" i="2"/>
  <c r="JM16" i="2"/>
  <c r="JN16" i="2"/>
  <c r="JO16" i="2"/>
  <c r="JP16" i="2"/>
  <c r="JQ16" i="2"/>
  <c r="JR16" i="2"/>
  <c r="JS16" i="2"/>
  <c r="JT16" i="2"/>
  <c r="JU16" i="2"/>
  <c r="JV16" i="2"/>
  <c r="JW16" i="2"/>
  <c r="JX16" i="2"/>
  <c r="JY16" i="2"/>
  <c r="JZ16" i="2"/>
  <c r="KA16" i="2"/>
  <c r="KB16" i="2"/>
  <c r="KC16" i="2"/>
  <c r="KD16" i="2"/>
  <c r="KE16" i="2"/>
  <c r="KF16" i="2"/>
  <c r="KG16" i="2"/>
  <c r="KH16" i="2"/>
  <c r="KI16" i="2"/>
  <c r="KJ16" i="2"/>
  <c r="KK16" i="2"/>
  <c r="KL16" i="2"/>
  <c r="KM16" i="2"/>
  <c r="KN16" i="2"/>
  <c r="KO16" i="2"/>
  <c r="KP16" i="2"/>
  <c r="KQ16" i="2"/>
  <c r="KR16" i="2"/>
  <c r="KS16" i="2"/>
  <c r="KT16" i="2"/>
  <c r="KU16" i="2"/>
  <c r="KV16" i="2"/>
  <c r="KW16" i="2"/>
  <c r="KX16" i="2"/>
  <c r="KY16" i="2"/>
  <c r="KZ16" i="2"/>
  <c r="LA16" i="2"/>
  <c r="LB16" i="2"/>
  <c r="LC16" i="2"/>
  <c r="LD16" i="2"/>
  <c r="LE16" i="2"/>
  <c r="LF16" i="2"/>
  <c r="LG16" i="2"/>
  <c r="LH16" i="2"/>
  <c r="LI16" i="2"/>
  <c r="LJ16" i="2"/>
  <c r="LK16" i="2"/>
  <c r="LL16" i="2"/>
  <c r="LM16" i="2"/>
  <c r="LN16" i="2"/>
  <c r="LO16" i="2"/>
  <c r="LP16" i="2"/>
  <c r="LQ16" i="2"/>
  <c r="LR16" i="2"/>
  <c r="LS16" i="2"/>
  <c r="LT16" i="2"/>
  <c r="LU16" i="2"/>
  <c r="LV16" i="2"/>
  <c r="LW16" i="2"/>
  <c r="LX16" i="2"/>
  <c r="LY16" i="2"/>
  <c r="LZ16" i="2"/>
  <c r="MA16" i="2"/>
  <c r="MB16" i="2"/>
  <c r="MC16" i="2"/>
  <c r="MD16" i="2"/>
  <c r="ME16" i="2"/>
  <c r="MF16" i="2"/>
  <c r="MG16" i="2"/>
  <c r="MH16" i="2"/>
  <c r="MI16" i="2"/>
  <c r="MJ16" i="2"/>
  <c r="MK16" i="2"/>
  <c r="ML16" i="2"/>
  <c r="MM16" i="2"/>
  <c r="MN16" i="2"/>
  <c r="MO16" i="2"/>
  <c r="MP16" i="2"/>
  <c r="MQ16" i="2"/>
  <c r="MR16" i="2"/>
  <c r="MS16" i="2"/>
  <c r="MT16" i="2"/>
  <c r="MU16" i="2"/>
  <c r="MV16" i="2"/>
  <c r="MW16" i="2"/>
  <c r="MX16" i="2"/>
  <c r="MY16" i="2"/>
  <c r="MZ16" i="2"/>
  <c r="NA16" i="2"/>
  <c r="NB16" i="2"/>
  <c r="NC16" i="2"/>
  <c r="ND16" i="2"/>
  <c r="NE16" i="2"/>
  <c r="NF16" i="2"/>
  <c r="NG16" i="2"/>
  <c r="NH16" i="2"/>
  <c r="NI16" i="2"/>
  <c r="NJ16" i="2"/>
  <c r="NK16" i="2"/>
  <c r="NL16" i="2"/>
  <c r="NM16" i="2"/>
  <c r="NN16" i="2"/>
  <c r="NO16" i="2"/>
  <c r="NP16" i="2"/>
  <c r="NQ16" i="2"/>
  <c r="NR16" i="2"/>
  <c r="NS16" i="2"/>
  <c r="NT16" i="2"/>
  <c r="NU16" i="2"/>
  <c r="NV16" i="2"/>
  <c r="NW16" i="2"/>
  <c r="NX16" i="2"/>
  <c r="NY16" i="2"/>
  <c r="NZ16" i="2"/>
  <c r="OA16" i="2"/>
  <c r="R17" i="2"/>
  <c r="S17" i="2"/>
  <c r="T17" i="2"/>
  <c r="U17" i="2"/>
  <c r="V17" i="2"/>
  <c r="W17" i="2"/>
  <c r="X17" i="2"/>
  <c r="Y17" i="2"/>
  <c r="Z17" i="2"/>
  <c r="AA17" i="2"/>
  <c r="AB17" i="2"/>
  <c r="AC17" i="2"/>
  <c r="AD17" i="2"/>
  <c r="AE17" i="2"/>
  <c r="AF17" i="2"/>
  <c r="AG17" i="2"/>
  <c r="AH17" i="2"/>
  <c r="AI17" i="2"/>
  <c r="AJ17" i="2"/>
  <c r="AK17" i="2"/>
  <c r="AL17" i="2"/>
  <c r="AM17" i="2"/>
  <c r="AN17" i="2"/>
  <c r="AO17" i="2"/>
  <c r="AP17" i="2"/>
  <c r="AQ17" i="2"/>
  <c r="AR17" i="2"/>
  <c r="AS17" i="2"/>
  <c r="AT17" i="2"/>
  <c r="AU17" i="2"/>
  <c r="AV17" i="2"/>
  <c r="AW17" i="2"/>
  <c r="AX17" i="2"/>
  <c r="AY17" i="2"/>
  <c r="AZ17" i="2"/>
  <c r="BA17" i="2"/>
  <c r="BB17" i="2"/>
  <c r="BC17" i="2"/>
  <c r="BD17" i="2"/>
  <c r="BE17" i="2"/>
  <c r="BF17" i="2"/>
  <c r="BG17" i="2"/>
  <c r="BH17" i="2"/>
  <c r="BI17" i="2"/>
  <c r="BJ17" i="2"/>
  <c r="BK17" i="2"/>
  <c r="BL17" i="2"/>
  <c r="BM17" i="2"/>
  <c r="BN17" i="2"/>
  <c r="BO17" i="2"/>
  <c r="BP17" i="2"/>
  <c r="BQ17" i="2"/>
  <c r="BR17" i="2"/>
  <c r="BS17" i="2"/>
  <c r="BT17" i="2"/>
  <c r="BU17" i="2"/>
  <c r="BV17" i="2"/>
  <c r="BW17" i="2"/>
  <c r="BX17" i="2"/>
  <c r="BY17" i="2"/>
  <c r="BZ17" i="2"/>
  <c r="CA17" i="2"/>
  <c r="CB17" i="2"/>
  <c r="CC17" i="2"/>
  <c r="CD17" i="2"/>
  <c r="CE17" i="2"/>
  <c r="CF17" i="2"/>
  <c r="CG17" i="2"/>
  <c r="CH17" i="2"/>
  <c r="CI17" i="2"/>
  <c r="CJ17" i="2"/>
  <c r="CK17" i="2"/>
  <c r="CL17" i="2"/>
  <c r="CM17" i="2"/>
  <c r="CN17" i="2"/>
  <c r="CO17" i="2"/>
  <c r="CP17" i="2"/>
  <c r="CQ17" i="2"/>
  <c r="CR17" i="2"/>
  <c r="CS17" i="2"/>
  <c r="CT17" i="2"/>
  <c r="CU17" i="2"/>
  <c r="CV17" i="2"/>
  <c r="CW17" i="2"/>
  <c r="CX17" i="2"/>
  <c r="CY17" i="2"/>
  <c r="CZ17" i="2"/>
  <c r="DA17" i="2"/>
  <c r="DB17" i="2"/>
  <c r="DC17" i="2"/>
  <c r="DD17" i="2"/>
  <c r="DE17" i="2"/>
  <c r="DF17" i="2"/>
  <c r="DG17" i="2"/>
  <c r="DH17" i="2"/>
  <c r="DI17" i="2"/>
  <c r="DJ17" i="2"/>
  <c r="DK17" i="2"/>
  <c r="DL17" i="2"/>
  <c r="DM17" i="2"/>
  <c r="DN17" i="2"/>
  <c r="DO17" i="2"/>
  <c r="DP17" i="2"/>
  <c r="DQ17" i="2"/>
  <c r="DR17" i="2"/>
  <c r="DS17" i="2"/>
  <c r="DT17" i="2"/>
  <c r="DU17" i="2"/>
  <c r="DV17" i="2"/>
  <c r="DW17" i="2"/>
  <c r="DX17" i="2"/>
  <c r="DY17" i="2"/>
  <c r="DZ17" i="2"/>
  <c r="EA17" i="2"/>
  <c r="EB17" i="2"/>
  <c r="EC17" i="2"/>
  <c r="ED17" i="2"/>
  <c r="EE17" i="2"/>
  <c r="EF17" i="2"/>
  <c r="EG17" i="2"/>
  <c r="EH17" i="2"/>
  <c r="EI17" i="2"/>
  <c r="EJ17" i="2"/>
  <c r="EK17" i="2"/>
  <c r="EL17" i="2"/>
  <c r="EM17" i="2"/>
  <c r="EN17" i="2"/>
  <c r="EO17" i="2"/>
  <c r="EP17" i="2"/>
  <c r="EQ17" i="2"/>
  <c r="ER17" i="2"/>
  <c r="ES17" i="2"/>
  <c r="ET17" i="2"/>
  <c r="EU17" i="2"/>
  <c r="EV17" i="2"/>
  <c r="EW17" i="2"/>
  <c r="EX17" i="2"/>
  <c r="EY17" i="2"/>
  <c r="EZ17" i="2"/>
  <c r="FA17" i="2"/>
  <c r="FB17" i="2"/>
  <c r="FC17" i="2"/>
  <c r="FD17" i="2"/>
  <c r="FE17" i="2"/>
  <c r="FF17" i="2"/>
  <c r="FG17" i="2"/>
  <c r="FH17" i="2"/>
  <c r="FI17" i="2"/>
  <c r="FJ17" i="2"/>
  <c r="FK17" i="2"/>
  <c r="FL17" i="2"/>
  <c r="FM17" i="2"/>
  <c r="FN17" i="2"/>
  <c r="FO17" i="2"/>
  <c r="FP17" i="2"/>
  <c r="FQ17" i="2"/>
  <c r="FR17" i="2"/>
  <c r="FS17" i="2"/>
  <c r="FT17" i="2"/>
  <c r="FU17" i="2"/>
  <c r="FV17" i="2"/>
  <c r="FW17" i="2"/>
  <c r="FX17" i="2"/>
  <c r="FY17" i="2"/>
  <c r="FZ17" i="2"/>
  <c r="GA17" i="2"/>
  <c r="GB17" i="2"/>
  <c r="GC17" i="2"/>
  <c r="GD17" i="2"/>
  <c r="GE17" i="2"/>
  <c r="GF17" i="2"/>
  <c r="GG17" i="2"/>
  <c r="GH17" i="2"/>
  <c r="GI17" i="2"/>
  <c r="GJ17" i="2"/>
  <c r="GK17" i="2"/>
  <c r="GL17" i="2"/>
  <c r="GM17" i="2"/>
  <c r="GN17" i="2"/>
  <c r="GO17" i="2"/>
  <c r="GP17" i="2"/>
  <c r="GQ17" i="2"/>
  <c r="GR17" i="2"/>
  <c r="GS17" i="2"/>
  <c r="GT17" i="2"/>
  <c r="GU17" i="2"/>
  <c r="GV17" i="2"/>
  <c r="GW17" i="2"/>
  <c r="GX17" i="2"/>
  <c r="GY17" i="2"/>
  <c r="GZ17" i="2"/>
  <c r="HA17" i="2"/>
  <c r="HB17" i="2"/>
  <c r="HC17" i="2"/>
  <c r="HD17" i="2"/>
  <c r="HE17" i="2"/>
  <c r="HF17" i="2"/>
  <c r="HG17" i="2"/>
  <c r="HH17" i="2"/>
  <c r="HI17" i="2"/>
  <c r="HJ17" i="2"/>
  <c r="HK17" i="2"/>
  <c r="HL17" i="2"/>
  <c r="HM17" i="2"/>
  <c r="HN17" i="2"/>
  <c r="HO17" i="2"/>
  <c r="HP17" i="2"/>
  <c r="HQ17" i="2"/>
  <c r="HR17" i="2"/>
  <c r="HS17" i="2"/>
  <c r="HT17" i="2"/>
  <c r="HU17" i="2"/>
  <c r="HV17" i="2"/>
  <c r="HW17" i="2"/>
  <c r="HX17" i="2"/>
  <c r="HY17" i="2"/>
  <c r="HZ17" i="2"/>
  <c r="IA17" i="2"/>
  <c r="IB17" i="2"/>
  <c r="IC17" i="2"/>
  <c r="ID17" i="2"/>
  <c r="IE17" i="2"/>
  <c r="IF17" i="2"/>
  <c r="IG17" i="2"/>
  <c r="IH17" i="2"/>
  <c r="II17" i="2"/>
  <c r="IJ17" i="2"/>
  <c r="IK17" i="2"/>
  <c r="IL17" i="2"/>
  <c r="IM17" i="2"/>
  <c r="IN17" i="2"/>
  <c r="IO17" i="2"/>
  <c r="IP17" i="2"/>
  <c r="IQ17" i="2"/>
  <c r="IR17" i="2"/>
  <c r="IS17" i="2"/>
  <c r="IT17" i="2"/>
  <c r="IU17" i="2"/>
  <c r="IV17" i="2"/>
  <c r="IW17" i="2"/>
  <c r="IX17" i="2"/>
  <c r="IY17" i="2"/>
  <c r="IZ17" i="2"/>
  <c r="JA17" i="2"/>
  <c r="JB17" i="2"/>
  <c r="JC17" i="2"/>
  <c r="JD17" i="2"/>
  <c r="JE17" i="2"/>
  <c r="JF17" i="2"/>
  <c r="JG17" i="2"/>
  <c r="JH17" i="2"/>
  <c r="JI17" i="2"/>
  <c r="JJ17" i="2"/>
  <c r="JK17" i="2"/>
  <c r="JL17" i="2"/>
  <c r="JM17" i="2"/>
  <c r="JN17" i="2"/>
  <c r="JO17" i="2"/>
  <c r="JP17" i="2"/>
  <c r="JQ17" i="2"/>
  <c r="JR17" i="2"/>
  <c r="JS17" i="2"/>
  <c r="JT17" i="2"/>
  <c r="JU17" i="2"/>
  <c r="JV17" i="2"/>
  <c r="JW17" i="2"/>
  <c r="JX17" i="2"/>
  <c r="JY17" i="2"/>
  <c r="JZ17" i="2"/>
  <c r="KA17" i="2"/>
  <c r="KB17" i="2"/>
  <c r="KC17" i="2"/>
  <c r="KD17" i="2"/>
  <c r="KE17" i="2"/>
  <c r="KF17" i="2"/>
  <c r="KG17" i="2"/>
  <c r="KH17" i="2"/>
  <c r="KI17" i="2"/>
  <c r="KJ17" i="2"/>
  <c r="KK17" i="2"/>
  <c r="KL17" i="2"/>
  <c r="KM17" i="2"/>
  <c r="KN17" i="2"/>
  <c r="KO17" i="2"/>
  <c r="KP17" i="2"/>
  <c r="KQ17" i="2"/>
  <c r="KR17" i="2"/>
  <c r="KS17" i="2"/>
  <c r="KT17" i="2"/>
  <c r="KU17" i="2"/>
  <c r="KV17" i="2"/>
  <c r="KW17" i="2"/>
  <c r="KX17" i="2"/>
  <c r="KY17" i="2"/>
  <c r="KZ17" i="2"/>
  <c r="LA17" i="2"/>
  <c r="LB17" i="2"/>
  <c r="LC17" i="2"/>
  <c r="LD17" i="2"/>
  <c r="LE17" i="2"/>
  <c r="LF17" i="2"/>
  <c r="LG17" i="2"/>
  <c r="LH17" i="2"/>
  <c r="LI17" i="2"/>
  <c r="LJ17" i="2"/>
  <c r="LK17" i="2"/>
  <c r="LL17" i="2"/>
  <c r="LM17" i="2"/>
  <c r="LN17" i="2"/>
  <c r="LO17" i="2"/>
  <c r="LP17" i="2"/>
  <c r="LQ17" i="2"/>
  <c r="LR17" i="2"/>
  <c r="LS17" i="2"/>
  <c r="LT17" i="2"/>
  <c r="LU17" i="2"/>
  <c r="LV17" i="2"/>
  <c r="LW17" i="2"/>
  <c r="LX17" i="2"/>
  <c r="LY17" i="2"/>
  <c r="LZ17" i="2"/>
  <c r="MA17" i="2"/>
  <c r="MB17" i="2"/>
  <c r="MC17" i="2"/>
  <c r="MD17" i="2"/>
  <c r="ME17" i="2"/>
  <c r="MF17" i="2"/>
  <c r="MG17" i="2"/>
  <c r="MH17" i="2"/>
  <c r="MI17" i="2"/>
  <c r="MJ17" i="2"/>
  <c r="MK17" i="2"/>
  <c r="ML17" i="2"/>
  <c r="MM17" i="2"/>
  <c r="MN17" i="2"/>
  <c r="MO17" i="2"/>
  <c r="MP17" i="2"/>
  <c r="MQ17" i="2"/>
  <c r="MR17" i="2"/>
  <c r="MS17" i="2"/>
  <c r="MT17" i="2"/>
  <c r="MU17" i="2"/>
  <c r="MV17" i="2"/>
  <c r="MW17" i="2"/>
  <c r="MX17" i="2"/>
  <c r="MY17" i="2"/>
  <c r="MZ17" i="2"/>
  <c r="NA17" i="2"/>
  <c r="NB17" i="2"/>
  <c r="NC17" i="2"/>
  <c r="ND17" i="2"/>
  <c r="NE17" i="2"/>
  <c r="NF17" i="2"/>
  <c r="NG17" i="2"/>
  <c r="NH17" i="2"/>
  <c r="NI17" i="2"/>
  <c r="NJ17" i="2"/>
  <c r="NK17" i="2"/>
  <c r="NL17" i="2"/>
  <c r="NM17" i="2"/>
  <c r="NN17" i="2"/>
  <c r="NO17" i="2"/>
  <c r="NP17" i="2"/>
  <c r="NQ17" i="2"/>
  <c r="NR17" i="2"/>
  <c r="NS17" i="2"/>
  <c r="NT17" i="2"/>
  <c r="NU17" i="2"/>
  <c r="NV17" i="2"/>
  <c r="NW17" i="2"/>
  <c r="NX17" i="2"/>
  <c r="NY17" i="2"/>
  <c r="NZ17" i="2"/>
  <c r="OA17" i="2"/>
  <c r="Q15" i="2"/>
  <c r="Q16" i="2"/>
  <c r="Q17" i="2"/>
  <c r="Q14" i="2"/>
  <c r="G8" i="2"/>
  <c r="H8" i="2"/>
  <c r="I8" i="2"/>
  <c r="J8" i="2"/>
  <c r="K8" i="2"/>
  <c r="L8" i="2"/>
  <c r="M8" i="2"/>
  <c r="N8" i="2"/>
  <c r="O8" i="2"/>
  <c r="P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  <c r="AK8" i="2"/>
  <c r="AL8" i="2"/>
  <c r="AM8" i="2"/>
  <c r="AN8" i="2"/>
  <c r="AO8" i="2"/>
  <c r="AP8" i="2"/>
  <c r="AQ8" i="2"/>
  <c r="AR8" i="2"/>
  <c r="AS8" i="2"/>
  <c r="AT8" i="2"/>
  <c r="AU8" i="2"/>
  <c r="AV8" i="2"/>
  <c r="AW8" i="2"/>
  <c r="AX8" i="2"/>
  <c r="AY8" i="2"/>
  <c r="AZ8" i="2"/>
  <c r="BA8" i="2"/>
  <c r="BB8" i="2"/>
  <c r="BC8" i="2"/>
  <c r="BD8" i="2"/>
  <c r="BE8" i="2"/>
  <c r="BF8" i="2"/>
  <c r="BG8" i="2"/>
  <c r="BH8" i="2"/>
  <c r="BI8" i="2"/>
  <c r="BJ8" i="2"/>
  <c r="BK8" i="2"/>
  <c r="BL8" i="2"/>
  <c r="BM8" i="2"/>
  <c r="BN8" i="2"/>
  <c r="BO8" i="2"/>
  <c r="BP8" i="2"/>
  <c r="BQ8" i="2"/>
  <c r="BR8" i="2"/>
  <c r="BS8" i="2"/>
  <c r="BT8" i="2"/>
  <c r="BU8" i="2"/>
  <c r="BV8" i="2"/>
  <c r="BW8" i="2"/>
  <c r="BX8" i="2"/>
  <c r="BY8" i="2"/>
  <c r="BZ8" i="2"/>
  <c r="CA8" i="2"/>
  <c r="CB8" i="2"/>
  <c r="CC8" i="2"/>
  <c r="CD8" i="2"/>
  <c r="CE8" i="2"/>
  <c r="CF8" i="2"/>
  <c r="CG8" i="2"/>
  <c r="CH8" i="2"/>
  <c r="CI8" i="2"/>
  <c r="CJ8" i="2"/>
  <c r="CK8" i="2"/>
  <c r="CL8" i="2"/>
  <c r="CM8" i="2"/>
  <c r="CN8" i="2"/>
  <c r="CO8" i="2"/>
  <c r="CP8" i="2"/>
  <c r="CQ8" i="2"/>
  <c r="CR8" i="2"/>
  <c r="CS8" i="2"/>
  <c r="CT8" i="2"/>
  <c r="CU8" i="2"/>
  <c r="CV8" i="2"/>
  <c r="CW8" i="2"/>
  <c r="CX8" i="2"/>
  <c r="CY8" i="2"/>
  <c r="CZ8" i="2"/>
  <c r="DA8" i="2"/>
  <c r="DB8" i="2"/>
  <c r="DC8" i="2"/>
  <c r="DD8" i="2"/>
  <c r="DE8" i="2"/>
  <c r="DF8" i="2"/>
  <c r="DG8" i="2"/>
  <c r="DH8" i="2"/>
  <c r="DI8" i="2"/>
  <c r="DJ8" i="2"/>
  <c r="DK8" i="2"/>
  <c r="DL8" i="2"/>
  <c r="DM8" i="2"/>
  <c r="DN8" i="2"/>
  <c r="DO8" i="2"/>
  <c r="DP8" i="2"/>
  <c r="DQ8" i="2"/>
  <c r="DR8" i="2"/>
  <c r="DS8" i="2"/>
  <c r="DT8" i="2"/>
  <c r="DU8" i="2"/>
  <c r="DV8" i="2"/>
  <c r="DW8" i="2"/>
  <c r="DX8" i="2"/>
  <c r="DY8" i="2"/>
  <c r="DZ8" i="2"/>
  <c r="EA8" i="2"/>
  <c r="EB8" i="2"/>
  <c r="EC8" i="2"/>
  <c r="ED8" i="2"/>
  <c r="EE8" i="2"/>
  <c r="EF8" i="2"/>
  <c r="EG8" i="2"/>
  <c r="EH8" i="2"/>
  <c r="EI8" i="2"/>
  <c r="EJ8" i="2"/>
  <c r="EK8" i="2"/>
  <c r="EL8" i="2"/>
  <c r="EM8" i="2"/>
  <c r="EN8" i="2"/>
  <c r="EO8" i="2"/>
  <c r="EP8" i="2"/>
  <c r="EQ8" i="2"/>
  <c r="ER8" i="2"/>
  <c r="ES8" i="2"/>
  <c r="ET8" i="2"/>
  <c r="EU8" i="2"/>
  <c r="EV8" i="2"/>
  <c r="EW8" i="2"/>
  <c r="EX8" i="2"/>
  <c r="EY8" i="2"/>
  <c r="EZ8" i="2"/>
  <c r="FA8" i="2"/>
  <c r="FB8" i="2"/>
  <c r="FC8" i="2"/>
  <c r="FD8" i="2"/>
  <c r="FE8" i="2"/>
  <c r="FF8" i="2"/>
  <c r="FG8" i="2"/>
  <c r="FH8" i="2"/>
  <c r="FI8" i="2"/>
  <c r="FJ8" i="2"/>
  <c r="FK8" i="2"/>
  <c r="FL8" i="2"/>
  <c r="FM8" i="2"/>
  <c r="FN8" i="2"/>
  <c r="FO8" i="2"/>
  <c r="FP8" i="2"/>
  <c r="FQ8" i="2"/>
  <c r="FR8" i="2"/>
  <c r="FS8" i="2"/>
  <c r="FT8" i="2"/>
  <c r="FU8" i="2"/>
  <c r="FV8" i="2"/>
  <c r="FW8" i="2"/>
  <c r="FX8" i="2"/>
  <c r="FY8" i="2"/>
  <c r="FZ8" i="2"/>
  <c r="GA8" i="2"/>
  <c r="GB8" i="2"/>
  <c r="GC8" i="2"/>
  <c r="GD8" i="2"/>
  <c r="GE8" i="2"/>
  <c r="GF8" i="2"/>
  <c r="GG8" i="2"/>
  <c r="GH8" i="2"/>
  <c r="GI8" i="2"/>
  <c r="GJ8" i="2"/>
  <c r="GK8" i="2"/>
  <c r="GL8" i="2"/>
  <c r="GM8" i="2"/>
  <c r="GN8" i="2"/>
  <c r="GO8" i="2"/>
  <c r="GP8" i="2"/>
  <c r="GQ8" i="2"/>
  <c r="GR8" i="2"/>
  <c r="GS8" i="2"/>
  <c r="GT8" i="2"/>
  <c r="GU8" i="2"/>
  <c r="GV8" i="2"/>
  <c r="GW8" i="2"/>
  <c r="GX8" i="2"/>
  <c r="GY8" i="2"/>
  <c r="GZ8" i="2"/>
  <c r="HA8" i="2"/>
  <c r="HB8" i="2"/>
  <c r="HC8" i="2"/>
  <c r="HD8" i="2"/>
  <c r="HE8" i="2"/>
  <c r="HF8" i="2"/>
  <c r="HG8" i="2"/>
  <c r="HH8" i="2"/>
  <c r="HI8" i="2"/>
  <c r="HJ8" i="2"/>
  <c r="HK8" i="2"/>
  <c r="HL8" i="2"/>
  <c r="HM8" i="2"/>
  <c r="HN8" i="2"/>
  <c r="HO8" i="2"/>
  <c r="HP8" i="2"/>
  <c r="HQ8" i="2"/>
  <c r="HR8" i="2"/>
  <c r="HS8" i="2"/>
  <c r="HT8" i="2"/>
  <c r="HU8" i="2"/>
  <c r="HV8" i="2"/>
  <c r="HW8" i="2"/>
  <c r="HX8" i="2"/>
  <c r="HY8" i="2"/>
  <c r="HZ8" i="2"/>
  <c r="IA8" i="2"/>
  <c r="IB8" i="2"/>
  <c r="IC8" i="2"/>
  <c r="ID8" i="2"/>
  <c r="IE8" i="2"/>
  <c r="IF8" i="2"/>
  <c r="IG8" i="2"/>
  <c r="IH8" i="2"/>
  <c r="II8" i="2"/>
  <c r="IJ8" i="2"/>
  <c r="IK8" i="2"/>
  <c r="IL8" i="2"/>
  <c r="IM8" i="2"/>
  <c r="IN8" i="2"/>
  <c r="IO8" i="2"/>
  <c r="IP8" i="2"/>
  <c r="IQ8" i="2"/>
  <c r="IR8" i="2"/>
  <c r="IS8" i="2"/>
  <c r="IT8" i="2"/>
  <c r="IU8" i="2"/>
  <c r="IV8" i="2"/>
  <c r="IW8" i="2"/>
  <c r="IX8" i="2"/>
  <c r="IY8" i="2"/>
  <c r="IZ8" i="2"/>
  <c r="JA8" i="2"/>
  <c r="JB8" i="2"/>
  <c r="JC8" i="2"/>
  <c r="JD8" i="2"/>
  <c r="JE8" i="2"/>
  <c r="JF8" i="2"/>
  <c r="JG8" i="2"/>
  <c r="JH8" i="2"/>
  <c r="JI8" i="2"/>
  <c r="JJ8" i="2"/>
  <c r="JK8" i="2"/>
  <c r="JL8" i="2"/>
  <c r="JM8" i="2"/>
  <c r="JN8" i="2"/>
  <c r="JO8" i="2"/>
  <c r="JP8" i="2"/>
  <c r="JQ8" i="2"/>
  <c r="JR8" i="2"/>
  <c r="JS8" i="2"/>
  <c r="JT8" i="2"/>
  <c r="JU8" i="2"/>
  <c r="JV8" i="2"/>
  <c r="JW8" i="2"/>
  <c r="JX8" i="2"/>
  <c r="JY8" i="2"/>
  <c r="JZ8" i="2"/>
  <c r="KA8" i="2"/>
  <c r="KB8" i="2"/>
  <c r="KC8" i="2"/>
  <c r="KD8" i="2"/>
  <c r="KE8" i="2"/>
  <c r="KF8" i="2"/>
  <c r="KG8" i="2"/>
  <c r="KH8" i="2"/>
  <c r="KI8" i="2"/>
  <c r="KJ8" i="2"/>
  <c r="KK8" i="2"/>
  <c r="KL8" i="2"/>
  <c r="KM8" i="2"/>
  <c r="KN8" i="2"/>
  <c r="KO8" i="2"/>
  <c r="KP8" i="2"/>
  <c r="KQ8" i="2"/>
  <c r="KR8" i="2"/>
  <c r="KS8" i="2"/>
  <c r="KT8" i="2"/>
  <c r="KU8" i="2"/>
  <c r="KV8" i="2"/>
  <c r="KW8" i="2"/>
  <c r="KX8" i="2"/>
  <c r="KY8" i="2"/>
  <c r="KZ8" i="2"/>
  <c r="LA8" i="2"/>
  <c r="LB8" i="2"/>
  <c r="LC8" i="2"/>
  <c r="LD8" i="2"/>
  <c r="LE8" i="2"/>
  <c r="LF8" i="2"/>
  <c r="LG8" i="2"/>
  <c r="LH8" i="2"/>
  <c r="LI8" i="2"/>
  <c r="LJ8" i="2"/>
  <c r="LK8" i="2"/>
  <c r="LL8" i="2"/>
  <c r="LM8" i="2"/>
  <c r="LN8" i="2"/>
  <c r="LO8" i="2"/>
  <c r="LP8" i="2"/>
  <c r="LQ8" i="2"/>
  <c r="LR8" i="2"/>
  <c r="LS8" i="2"/>
  <c r="LT8" i="2"/>
  <c r="LU8" i="2"/>
  <c r="LV8" i="2"/>
  <c r="LW8" i="2"/>
  <c r="LX8" i="2"/>
  <c r="LY8" i="2"/>
  <c r="LZ8" i="2"/>
  <c r="MA8" i="2"/>
  <c r="MB8" i="2"/>
  <c r="MC8" i="2"/>
  <c r="MD8" i="2"/>
  <c r="ME8" i="2"/>
  <c r="MF8" i="2"/>
  <c r="MG8" i="2"/>
  <c r="MH8" i="2"/>
  <c r="MI8" i="2"/>
  <c r="MJ8" i="2"/>
  <c r="MK8" i="2"/>
  <c r="ML8" i="2"/>
  <c r="MM8" i="2"/>
  <c r="MN8" i="2"/>
  <c r="MO8" i="2"/>
  <c r="MP8" i="2"/>
  <c r="MQ8" i="2"/>
  <c r="MR8" i="2"/>
  <c r="MS8" i="2"/>
  <c r="MT8" i="2"/>
  <c r="MU8" i="2"/>
  <c r="MV8" i="2"/>
  <c r="MW8" i="2"/>
  <c r="MX8" i="2"/>
  <c r="MY8" i="2"/>
  <c r="MZ8" i="2"/>
  <c r="NA8" i="2"/>
  <c r="NB8" i="2"/>
  <c r="NC8" i="2"/>
  <c r="ND8" i="2"/>
  <c r="NE8" i="2"/>
  <c r="NF8" i="2"/>
  <c r="NG8" i="2"/>
  <c r="NH8" i="2"/>
  <c r="NI8" i="2"/>
  <c r="NJ8" i="2"/>
  <c r="NK8" i="2"/>
  <c r="NL8" i="2"/>
  <c r="NM8" i="2"/>
  <c r="NN8" i="2"/>
  <c r="NO8" i="2"/>
  <c r="NP8" i="2"/>
  <c r="NQ8" i="2"/>
  <c r="NR8" i="2"/>
  <c r="NS8" i="2"/>
  <c r="NT8" i="2"/>
  <c r="NU8" i="2"/>
  <c r="NV8" i="2"/>
  <c r="NW8" i="2"/>
  <c r="NX8" i="2"/>
  <c r="NY8" i="2"/>
  <c r="NZ8" i="2"/>
  <c r="OA8" i="2"/>
  <c r="G9" i="2"/>
  <c r="H9" i="2"/>
  <c r="I9" i="2"/>
  <c r="J9" i="2"/>
  <c r="K9" i="2"/>
  <c r="L9" i="2"/>
  <c r="M9" i="2"/>
  <c r="N9" i="2"/>
  <c r="O9" i="2"/>
  <c r="P9" i="2"/>
  <c r="Q9" i="2"/>
  <c r="R9" i="2"/>
  <c r="S9" i="2"/>
  <c r="T9" i="2"/>
  <c r="U9" i="2"/>
  <c r="V9" i="2"/>
  <c r="W9" i="2"/>
  <c r="X9" i="2"/>
  <c r="Y9" i="2"/>
  <c r="Z9" i="2"/>
  <c r="AA9" i="2"/>
  <c r="AB9" i="2"/>
  <c r="AC9" i="2"/>
  <c r="AD9" i="2"/>
  <c r="AE9" i="2"/>
  <c r="AF9" i="2"/>
  <c r="AG9" i="2"/>
  <c r="AH9" i="2"/>
  <c r="AI9" i="2"/>
  <c r="AJ9" i="2"/>
  <c r="AK9" i="2"/>
  <c r="AL9" i="2"/>
  <c r="AM9" i="2"/>
  <c r="AN9" i="2"/>
  <c r="AO9" i="2"/>
  <c r="AP9" i="2"/>
  <c r="AQ9" i="2"/>
  <c r="AR9" i="2"/>
  <c r="AS9" i="2"/>
  <c r="AT9" i="2"/>
  <c r="AU9" i="2"/>
  <c r="AV9" i="2"/>
  <c r="AW9" i="2"/>
  <c r="AX9" i="2"/>
  <c r="AY9" i="2"/>
  <c r="AZ9" i="2"/>
  <c r="BA9" i="2"/>
  <c r="BB9" i="2"/>
  <c r="BC9" i="2"/>
  <c r="BD9" i="2"/>
  <c r="BE9" i="2"/>
  <c r="BF9" i="2"/>
  <c r="BG9" i="2"/>
  <c r="BH9" i="2"/>
  <c r="BI9" i="2"/>
  <c r="BJ9" i="2"/>
  <c r="BK9" i="2"/>
  <c r="BL9" i="2"/>
  <c r="BM9" i="2"/>
  <c r="BN9" i="2"/>
  <c r="BO9" i="2"/>
  <c r="BP9" i="2"/>
  <c r="BQ9" i="2"/>
  <c r="BR9" i="2"/>
  <c r="BS9" i="2"/>
  <c r="BT9" i="2"/>
  <c r="BU9" i="2"/>
  <c r="BV9" i="2"/>
  <c r="BW9" i="2"/>
  <c r="BX9" i="2"/>
  <c r="BY9" i="2"/>
  <c r="BZ9" i="2"/>
  <c r="CA9" i="2"/>
  <c r="CB9" i="2"/>
  <c r="CC9" i="2"/>
  <c r="CD9" i="2"/>
  <c r="CE9" i="2"/>
  <c r="CF9" i="2"/>
  <c r="CG9" i="2"/>
  <c r="CH9" i="2"/>
  <c r="CI9" i="2"/>
  <c r="CJ9" i="2"/>
  <c r="CK9" i="2"/>
  <c r="CL9" i="2"/>
  <c r="CM9" i="2"/>
  <c r="CN9" i="2"/>
  <c r="CO9" i="2"/>
  <c r="CP9" i="2"/>
  <c r="CQ9" i="2"/>
  <c r="CR9" i="2"/>
  <c r="CS9" i="2"/>
  <c r="CT9" i="2"/>
  <c r="CU9" i="2"/>
  <c r="CV9" i="2"/>
  <c r="CW9" i="2"/>
  <c r="CX9" i="2"/>
  <c r="CY9" i="2"/>
  <c r="CZ9" i="2"/>
  <c r="DA9" i="2"/>
  <c r="DB9" i="2"/>
  <c r="DC9" i="2"/>
  <c r="DD9" i="2"/>
  <c r="DE9" i="2"/>
  <c r="DF9" i="2"/>
  <c r="DG9" i="2"/>
  <c r="DH9" i="2"/>
  <c r="DI9" i="2"/>
  <c r="DJ9" i="2"/>
  <c r="DK9" i="2"/>
  <c r="DL9" i="2"/>
  <c r="DM9" i="2"/>
  <c r="DN9" i="2"/>
  <c r="DO9" i="2"/>
  <c r="DP9" i="2"/>
  <c r="DQ9" i="2"/>
  <c r="DR9" i="2"/>
  <c r="DS9" i="2"/>
  <c r="DT9" i="2"/>
  <c r="DU9" i="2"/>
  <c r="DV9" i="2"/>
  <c r="DW9" i="2"/>
  <c r="DX9" i="2"/>
  <c r="DY9" i="2"/>
  <c r="DZ9" i="2"/>
  <c r="EA9" i="2"/>
  <c r="EB9" i="2"/>
  <c r="EC9" i="2"/>
  <c r="ED9" i="2"/>
  <c r="EE9" i="2"/>
  <c r="EF9" i="2"/>
  <c r="EG9" i="2"/>
  <c r="EH9" i="2"/>
  <c r="EI9" i="2"/>
  <c r="EJ9" i="2"/>
  <c r="EK9" i="2"/>
  <c r="EL9" i="2"/>
  <c r="EM9" i="2"/>
  <c r="EN9" i="2"/>
  <c r="EO9" i="2"/>
  <c r="EP9" i="2"/>
  <c r="EQ9" i="2"/>
  <c r="ER9" i="2"/>
  <c r="ES9" i="2"/>
  <c r="ET9" i="2"/>
  <c r="EU9" i="2"/>
  <c r="EV9" i="2"/>
  <c r="EW9" i="2"/>
  <c r="EX9" i="2"/>
  <c r="EY9" i="2"/>
  <c r="EZ9" i="2"/>
  <c r="FA9" i="2"/>
  <c r="FB9" i="2"/>
  <c r="FC9" i="2"/>
  <c r="FD9" i="2"/>
  <c r="FE9" i="2"/>
  <c r="FF9" i="2"/>
  <c r="FG9" i="2"/>
  <c r="FH9" i="2"/>
  <c r="FI9" i="2"/>
  <c r="FJ9" i="2"/>
  <c r="FK9" i="2"/>
  <c r="FL9" i="2"/>
  <c r="FM9" i="2"/>
  <c r="FN9" i="2"/>
  <c r="FO9" i="2"/>
  <c r="FP9" i="2"/>
  <c r="FQ9" i="2"/>
  <c r="FR9" i="2"/>
  <c r="FS9" i="2"/>
  <c r="FT9" i="2"/>
  <c r="FU9" i="2"/>
  <c r="FV9" i="2"/>
  <c r="FW9" i="2"/>
  <c r="FX9" i="2"/>
  <c r="FY9" i="2"/>
  <c r="FZ9" i="2"/>
  <c r="GA9" i="2"/>
  <c r="GB9" i="2"/>
  <c r="GC9" i="2"/>
  <c r="GD9" i="2"/>
  <c r="GE9" i="2"/>
  <c r="GF9" i="2"/>
  <c r="GG9" i="2"/>
  <c r="GH9" i="2"/>
  <c r="GI9" i="2"/>
  <c r="GJ9" i="2"/>
  <c r="GK9" i="2"/>
  <c r="GL9" i="2"/>
  <c r="GM9" i="2"/>
  <c r="GN9" i="2"/>
  <c r="GO9" i="2"/>
  <c r="GP9" i="2"/>
  <c r="GQ9" i="2"/>
  <c r="GR9" i="2"/>
  <c r="GS9" i="2"/>
  <c r="GT9" i="2"/>
  <c r="GU9" i="2"/>
  <c r="GV9" i="2"/>
  <c r="GW9" i="2"/>
  <c r="GX9" i="2"/>
  <c r="GY9" i="2"/>
  <c r="GZ9" i="2"/>
  <c r="HA9" i="2"/>
  <c r="HB9" i="2"/>
  <c r="HC9" i="2"/>
  <c r="HD9" i="2"/>
  <c r="HE9" i="2"/>
  <c r="HF9" i="2"/>
  <c r="HG9" i="2"/>
  <c r="HH9" i="2"/>
  <c r="HI9" i="2"/>
  <c r="HJ9" i="2"/>
  <c r="HK9" i="2"/>
  <c r="HL9" i="2"/>
  <c r="HM9" i="2"/>
  <c r="HN9" i="2"/>
  <c r="HO9" i="2"/>
  <c r="HP9" i="2"/>
  <c r="HQ9" i="2"/>
  <c r="HR9" i="2"/>
  <c r="HS9" i="2"/>
  <c r="HT9" i="2"/>
  <c r="HU9" i="2"/>
  <c r="HV9" i="2"/>
  <c r="HW9" i="2"/>
  <c r="HX9" i="2"/>
  <c r="HY9" i="2"/>
  <c r="HZ9" i="2"/>
  <c r="IA9" i="2"/>
  <c r="IB9" i="2"/>
  <c r="IC9" i="2"/>
  <c r="ID9" i="2"/>
  <c r="IE9" i="2"/>
  <c r="IF9" i="2"/>
  <c r="IG9" i="2"/>
  <c r="IH9" i="2"/>
  <c r="II9" i="2"/>
  <c r="IJ9" i="2"/>
  <c r="IK9" i="2"/>
  <c r="IL9" i="2"/>
  <c r="IM9" i="2"/>
  <c r="IN9" i="2"/>
  <c r="IO9" i="2"/>
  <c r="IP9" i="2"/>
  <c r="IQ9" i="2"/>
  <c r="IR9" i="2"/>
  <c r="IS9" i="2"/>
  <c r="IT9" i="2"/>
  <c r="IU9" i="2"/>
  <c r="IV9" i="2"/>
  <c r="IW9" i="2"/>
  <c r="IX9" i="2"/>
  <c r="IY9" i="2"/>
  <c r="IZ9" i="2"/>
  <c r="JA9" i="2"/>
  <c r="JB9" i="2"/>
  <c r="JC9" i="2"/>
  <c r="JD9" i="2"/>
  <c r="JE9" i="2"/>
  <c r="JF9" i="2"/>
  <c r="JG9" i="2"/>
  <c r="JH9" i="2"/>
  <c r="JI9" i="2"/>
  <c r="JJ9" i="2"/>
  <c r="JK9" i="2"/>
  <c r="JL9" i="2"/>
  <c r="JM9" i="2"/>
  <c r="JN9" i="2"/>
  <c r="JO9" i="2"/>
  <c r="JP9" i="2"/>
  <c r="JQ9" i="2"/>
  <c r="JR9" i="2"/>
  <c r="JS9" i="2"/>
  <c r="JT9" i="2"/>
  <c r="JU9" i="2"/>
  <c r="JV9" i="2"/>
  <c r="JW9" i="2"/>
  <c r="JX9" i="2"/>
  <c r="JY9" i="2"/>
  <c r="JZ9" i="2"/>
  <c r="KA9" i="2"/>
  <c r="KB9" i="2"/>
  <c r="KC9" i="2"/>
  <c r="KD9" i="2"/>
  <c r="KE9" i="2"/>
  <c r="KF9" i="2"/>
  <c r="KG9" i="2"/>
  <c r="KH9" i="2"/>
  <c r="KI9" i="2"/>
  <c r="KJ9" i="2"/>
  <c r="KK9" i="2"/>
  <c r="KL9" i="2"/>
  <c r="KM9" i="2"/>
  <c r="KN9" i="2"/>
  <c r="KO9" i="2"/>
  <c r="KP9" i="2"/>
  <c r="KQ9" i="2"/>
  <c r="KR9" i="2"/>
  <c r="KS9" i="2"/>
  <c r="KT9" i="2"/>
  <c r="KU9" i="2"/>
  <c r="KV9" i="2"/>
  <c r="KW9" i="2"/>
  <c r="KX9" i="2"/>
  <c r="KY9" i="2"/>
  <c r="KZ9" i="2"/>
  <c r="LA9" i="2"/>
  <c r="LB9" i="2"/>
  <c r="LC9" i="2"/>
  <c r="LD9" i="2"/>
  <c r="LE9" i="2"/>
  <c r="LF9" i="2"/>
  <c r="LG9" i="2"/>
  <c r="LH9" i="2"/>
  <c r="LI9" i="2"/>
  <c r="LJ9" i="2"/>
  <c r="LK9" i="2"/>
  <c r="LL9" i="2"/>
  <c r="LM9" i="2"/>
  <c r="LN9" i="2"/>
  <c r="LO9" i="2"/>
  <c r="LP9" i="2"/>
  <c r="LQ9" i="2"/>
  <c r="LR9" i="2"/>
  <c r="LS9" i="2"/>
  <c r="LT9" i="2"/>
  <c r="LU9" i="2"/>
  <c r="LV9" i="2"/>
  <c r="LW9" i="2"/>
  <c r="LX9" i="2"/>
  <c r="LY9" i="2"/>
  <c r="LZ9" i="2"/>
  <c r="MA9" i="2"/>
  <c r="MB9" i="2"/>
  <c r="MC9" i="2"/>
  <c r="MD9" i="2"/>
  <c r="ME9" i="2"/>
  <c r="MF9" i="2"/>
  <c r="MG9" i="2"/>
  <c r="MH9" i="2"/>
  <c r="MI9" i="2"/>
  <c r="MJ9" i="2"/>
  <c r="MK9" i="2"/>
  <c r="ML9" i="2"/>
  <c r="MM9" i="2"/>
  <c r="MN9" i="2"/>
  <c r="MO9" i="2"/>
  <c r="MP9" i="2"/>
  <c r="MQ9" i="2"/>
  <c r="MR9" i="2"/>
  <c r="MS9" i="2"/>
  <c r="MT9" i="2"/>
  <c r="MU9" i="2"/>
  <c r="MV9" i="2"/>
  <c r="MW9" i="2"/>
  <c r="MX9" i="2"/>
  <c r="MY9" i="2"/>
  <c r="MZ9" i="2"/>
  <c r="NA9" i="2"/>
  <c r="NB9" i="2"/>
  <c r="NC9" i="2"/>
  <c r="ND9" i="2"/>
  <c r="NE9" i="2"/>
  <c r="NF9" i="2"/>
  <c r="NG9" i="2"/>
  <c r="NH9" i="2"/>
  <c r="NI9" i="2"/>
  <c r="NJ9" i="2"/>
  <c r="NK9" i="2"/>
  <c r="NL9" i="2"/>
  <c r="NM9" i="2"/>
  <c r="NN9" i="2"/>
  <c r="NO9" i="2"/>
  <c r="NP9" i="2"/>
  <c r="NQ9" i="2"/>
  <c r="NR9" i="2"/>
  <c r="NS9" i="2"/>
  <c r="NT9" i="2"/>
  <c r="NU9" i="2"/>
  <c r="NV9" i="2"/>
  <c r="NW9" i="2"/>
  <c r="NX9" i="2"/>
  <c r="NY9" i="2"/>
  <c r="NZ9" i="2"/>
  <c r="OA9" i="2"/>
  <c r="G10" i="2"/>
  <c r="H10" i="2"/>
  <c r="I10" i="2"/>
  <c r="J10" i="2"/>
  <c r="K10" i="2"/>
  <c r="L10" i="2"/>
  <c r="M10" i="2"/>
  <c r="N10" i="2"/>
  <c r="O10" i="2"/>
  <c r="P10" i="2"/>
  <c r="Q10" i="2"/>
  <c r="R10" i="2"/>
  <c r="S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AJ10" i="2"/>
  <c r="AK10" i="2"/>
  <c r="AL10" i="2"/>
  <c r="AM10" i="2"/>
  <c r="AN10" i="2"/>
  <c r="AO10" i="2"/>
  <c r="AP10" i="2"/>
  <c r="AQ10" i="2"/>
  <c r="AR10" i="2"/>
  <c r="AS10" i="2"/>
  <c r="AT10" i="2"/>
  <c r="AU10" i="2"/>
  <c r="AV10" i="2"/>
  <c r="AW10" i="2"/>
  <c r="AX10" i="2"/>
  <c r="AY10" i="2"/>
  <c r="AZ10" i="2"/>
  <c r="BA10" i="2"/>
  <c r="BB10" i="2"/>
  <c r="BC10" i="2"/>
  <c r="BD10" i="2"/>
  <c r="BE10" i="2"/>
  <c r="BF10" i="2"/>
  <c r="BG10" i="2"/>
  <c r="BH10" i="2"/>
  <c r="BI10" i="2"/>
  <c r="BJ10" i="2"/>
  <c r="BK10" i="2"/>
  <c r="BL10" i="2"/>
  <c r="BM10" i="2"/>
  <c r="BN10" i="2"/>
  <c r="BO10" i="2"/>
  <c r="BP10" i="2"/>
  <c r="BQ10" i="2"/>
  <c r="BR10" i="2"/>
  <c r="BS10" i="2"/>
  <c r="BT10" i="2"/>
  <c r="BU10" i="2"/>
  <c r="BV10" i="2"/>
  <c r="BW10" i="2"/>
  <c r="BX10" i="2"/>
  <c r="BY10" i="2"/>
  <c r="BZ10" i="2"/>
  <c r="CA10" i="2"/>
  <c r="CB10" i="2"/>
  <c r="CC10" i="2"/>
  <c r="CD10" i="2"/>
  <c r="CE10" i="2"/>
  <c r="CF10" i="2"/>
  <c r="CG10" i="2"/>
  <c r="CH10" i="2"/>
  <c r="CI10" i="2"/>
  <c r="CJ10" i="2"/>
  <c r="CK10" i="2"/>
  <c r="CL10" i="2"/>
  <c r="CM10" i="2"/>
  <c r="CN10" i="2"/>
  <c r="CO10" i="2"/>
  <c r="CP10" i="2"/>
  <c r="CQ10" i="2"/>
  <c r="CR10" i="2"/>
  <c r="CS10" i="2"/>
  <c r="CT10" i="2"/>
  <c r="CU10" i="2"/>
  <c r="CV10" i="2"/>
  <c r="CW10" i="2"/>
  <c r="CX10" i="2"/>
  <c r="CY10" i="2"/>
  <c r="CZ10" i="2"/>
  <c r="DA10" i="2"/>
  <c r="DB10" i="2"/>
  <c r="DC10" i="2"/>
  <c r="DD10" i="2"/>
  <c r="DE10" i="2"/>
  <c r="DF10" i="2"/>
  <c r="DG10" i="2"/>
  <c r="DH10" i="2"/>
  <c r="DI10" i="2"/>
  <c r="DJ10" i="2"/>
  <c r="DK10" i="2"/>
  <c r="DL10" i="2"/>
  <c r="DM10" i="2"/>
  <c r="DN10" i="2"/>
  <c r="DO10" i="2"/>
  <c r="DP10" i="2"/>
  <c r="DQ10" i="2"/>
  <c r="DR10" i="2"/>
  <c r="DS10" i="2"/>
  <c r="DT10" i="2"/>
  <c r="DU10" i="2"/>
  <c r="DV10" i="2"/>
  <c r="DW10" i="2"/>
  <c r="DX10" i="2"/>
  <c r="DY10" i="2"/>
  <c r="DZ10" i="2"/>
  <c r="EA10" i="2"/>
  <c r="EB10" i="2"/>
  <c r="EC10" i="2"/>
  <c r="ED10" i="2"/>
  <c r="EE10" i="2"/>
  <c r="EF10" i="2"/>
  <c r="EG10" i="2"/>
  <c r="EH10" i="2"/>
  <c r="EI10" i="2"/>
  <c r="EJ10" i="2"/>
  <c r="EK10" i="2"/>
  <c r="EL10" i="2"/>
  <c r="EM10" i="2"/>
  <c r="EN10" i="2"/>
  <c r="EO10" i="2"/>
  <c r="EP10" i="2"/>
  <c r="EQ10" i="2"/>
  <c r="ER10" i="2"/>
  <c r="ES10" i="2"/>
  <c r="ET10" i="2"/>
  <c r="EU10" i="2"/>
  <c r="EV10" i="2"/>
  <c r="EW10" i="2"/>
  <c r="EX10" i="2"/>
  <c r="EY10" i="2"/>
  <c r="EZ10" i="2"/>
  <c r="FA10" i="2"/>
  <c r="FB10" i="2"/>
  <c r="FC10" i="2"/>
  <c r="FD10" i="2"/>
  <c r="FE10" i="2"/>
  <c r="FF10" i="2"/>
  <c r="FG10" i="2"/>
  <c r="FH10" i="2"/>
  <c r="FI10" i="2"/>
  <c r="FJ10" i="2"/>
  <c r="FK10" i="2"/>
  <c r="FL10" i="2"/>
  <c r="FM10" i="2"/>
  <c r="FN10" i="2"/>
  <c r="FO10" i="2"/>
  <c r="FP10" i="2"/>
  <c r="FQ10" i="2"/>
  <c r="FR10" i="2"/>
  <c r="FS10" i="2"/>
  <c r="FT10" i="2"/>
  <c r="FU10" i="2"/>
  <c r="FV10" i="2"/>
  <c r="FW10" i="2"/>
  <c r="FX10" i="2"/>
  <c r="FY10" i="2"/>
  <c r="FZ10" i="2"/>
  <c r="GA10" i="2"/>
  <c r="GB10" i="2"/>
  <c r="GC10" i="2"/>
  <c r="GD10" i="2"/>
  <c r="GE10" i="2"/>
  <c r="GF10" i="2"/>
  <c r="GG10" i="2"/>
  <c r="GH10" i="2"/>
  <c r="GI10" i="2"/>
  <c r="GJ10" i="2"/>
  <c r="GK10" i="2"/>
  <c r="GL10" i="2"/>
  <c r="GM10" i="2"/>
  <c r="GN10" i="2"/>
  <c r="GO10" i="2"/>
  <c r="GP10" i="2"/>
  <c r="GQ10" i="2"/>
  <c r="GR10" i="2"/>
  <c r="GS10" i="2"/>
  <c r="GT10" i="2"/>
  <c r="GU10" i="2"/>
  <c r="GV10" i="2"/>
  <c r="GW10" i="2"/>
  <c r="GX10" i="2"/>
  <c r="GY10" i="2"/>
  <c r="GZ10" i="2"/>
  <c r="HA10" i="2"/>
  <c r="HB10" i="2"/>
  <c r="HC10" i="2"/>
  <c r="HD10" i="2"/>
  <c r="HE10" i="2"/>
  <c r="HF10" i="2"/>
  <c r="HG10" i="2"/>
  <c r="HH10" i="2"/>
  <c r="HI10" i="2"/>
  <c r="HJ10" i="2"/>
  <c r="HK10" i="2"/>
  <c r="HL10" i="2"/>
  <c r="HM10" i="2"/>
  <c r="HN10" i="2"/>
  <c r="HO10" i="2"/>
  <c r="HP10" i="2"/>
  <c r="HQ10" i="2"/>
  <c r="HR10" i="2"/>
  <c r="HS10" i="2"/>
  <c r="HT10" i="2"/>
  <c r="HU10" i="2"/>
  <c r="HV10" i="2"/>
  <c r="HW10" i="2"/>
  <c r="HX10" i="2"/>
  <c r="HY10" i="2"/>
  <c r="HZ10" i="2"/>
  <c r="IA10" i="2"/>
  <c r="IB10" i="2"/>
  <c r="IC10" i="2"/>
  <c r="ID10" i="2"/>
  <c r="IE10" i="2"/>
  <c r="IF10" i="2"/>
  <c r="IG10" i="2"/>
  <c r="IH10" i="2"/>
  <c r="II10" i="2"/>
  <c r="IJ10" i="2"/>
  <c r="IK10" i="2"/>
  <c r="IL10" i="2"/>
  <c r="IM10" i="2"/>
  <c r="IN10" i="2"/>
  <c r="IO10" i="2"/>
  <c r="IP10" i="2"/>
  <c r="IQ10" i="2"/>
  <c r="IR10" i="2"/>
  <c r="IS10" i="2"/>
  <c r="IT10" i="2"/>
  <c r="IU10" i="2"/>
  <c r="IV10" i="2"/>
  <c r="IW10" i="2"/>
  <c r="IX10" i="2"/>
  <c r="IY10" i="2"/>
  <c r="IZ10" i="2"/>
  <c r="JA10" i="2"/>
  <c r="JB10" i="2"/>
  <c r="JC10" i="2"/>
  <c r="JD10" i="2"/>
  <c r="JE10" i="2"/>
  <c r="JF10" i="2"/>
  <c r="JG10" i="2"/>
  <c r="JH10" i="2"/>
  <c r="JI10" i="2"/>
  <c r="JJ10" i="2"/>
  <c r="JK10" i="2"/>
  <c r="JL10" i="2"/>
  <c r="JM10" i="2"/>
  <c r="JN10" i="2"/>
  <c r="JO10" i="2"/>
  <c r="JP10" i="2"/>
  <c r="JQ10" i="2"/>
  <c r="JR10" i="2"/>
  <c r="JS10" i="2"/>
  <c r="JT10" i="2"/>
  <c r="JU10" i="2"/>
  <c r="JV10" i="2"/>
  <c r="JW10" i="2"/>
  <c r="JX10" i="2"/>
  <c r="JY10" i="2"/>
  <c r="JZ10" i="2"/>
  <c r="KA10" i="2"/>
  <c r="KB10" i="2"/>
  <c r="KC10" i="2"/>
  <c r="KD10" i="2"/>
  <c r="KE10" i="2"/>
  <c r="KF10" i="2"/>
  <c r="KG10" i="2"/>
  <c r="KH10" i="2"/>
  <c r="KI10" i="2"/>
  <c r="KJ10" i="2"/>
  <c r="KK10" i="2"/>
  <c r="KL10" i="2"/>
  <c r="KM10" i="2"/>
  <c r="KN10" i="2"/>
  <c r="KO10" i="2"/>
  <c r="KP10" i="2"/>
  <c r="KQ10" i="2"/>
  <c r="KR10" i="2"/>
  <c r="KS10" i="2"/>
  <c r="KT10" i="2"/>
  <c r="KU10" i="2"/>
  <c r="KV10" i="2"/>
  <c r="KW10" i="2"/>
  <c r="KX10" i="2"/>
  <c r="KY10" i="2"/>
  <c r="KZ10" i="2"/>
  <c r="LA10" i="2"/>
  <c r="LB10" i="2"/>
  <c r="LC10" i="2"/>
  <c r="LD10" i="2"/>
  <c r="LE10" i="2"/>
  <c r="LF10" i="2"/>
  <c r="LG10" i="2"/>
  <c r="LH10" i="2"/>
  <c r="LI10" i="2"/>
  <c r="LJ10" i="2"/>
  <c r="LK10" i="2"/>
  <c r="LL10" i="2"/>
  <c r="LM10" i="2"/>
  <c r="LN10" i="2"/>
  <c r="LO10" i="2"/>
  <c r="LP10" i="2"/>
  <c r="LQ10" i="2"/>
  <c r="LR10" i="2"/>
  <c r="LS10" i="2"/>
  <c r="LT10" i="2"/>
  <c r="LU10" i="2"/>
  <c r="LV10" i="2"/>
  <c r="LW10" i="2"/>
  <c r="LX10" i="2"/>
  <c r="LY10" i="2"/>
  <c r="LZ10" i="2"/>
  <c r="MA10" i="2"/>
  <c r="MB10" i="2"/>
  <c r="MC10" i="2"/>
  <c r="MD10" i="2"/>
  <c r="ME10" i="2"/>
  <c r="MF10" i="2"/>
  <c r="MG10" i="2"/>
  <c r="MH10" i="2"/>
  <c r="MI10" i="2"/>
  <c r="MJ10" i="2"/>
  <c r="MK10" i="2"/>
  <c r="ML10" i="2"/>
  <c r="MM10" i="2"/>
  <c r="MN10" i="2"/>
  <c r="MO10" i="2"/>
  <c r="MP10" i="2"/>
  <c r="MQ10" i="2"/>
  <c r="MR10" i="2"/>
  <c r="MS10" i="2"/>
  <c r="MT10" i="2"/>
  <c r="MU10" i="2"/>
  <c r="MV10" i="2"/>
  <c r="MW10" i="2"/>
  <c r="MX10" i="2"/>
  <c r="MY10" i="2"/>
  <c r="MZ10" i="2"/>
  <c r="NA10" i="2"/>
  <c r="NB10" i="2"/>
  <c r="NC10" i="2"/>
  <c r="ND10" i="2"/>
  <c r="NE10" i="2"/>
  <c r="NF10" i="2"/>
  <c r="NG10" i="2"/>
  <c r="NH10" i="2"/>
  <c r="NI10" i="2"/>
  <c r="NJ10" i="2"/>
  <c r="NK10" i="2"/>
  <c r="NL10" i="2"/>
  <c r="NM10" i="2"/>
  <c r="NN10" i="2"/>
  <c r="NO10" i="2"/>
  <c r="NP10" i="2"/>
  <c r="NQ10" i="2"/>
  <c r="NR10" i="2"/>
  <c r="NS10" i="2"/>
  <c r="NT10" i="2"/>
  <c r="NU10" i="2"/>
  <c r="NV10" i="2"/>
  <c r="NW10" i="2"/>
  <c r="NX10" i="2"/>
  <c r="NY10" i="2"/>
  <c r="NZ10" i="2"/>
  <c r="OA10" i="2"/>
  <c r="G11" i="2"/>
  <c r="H11" i="2"/>
  <c r="I11" i="2"/>
  <c r="J11" i="2"/>
  <c r="K11" i="2"/>
  <c r="L11" i="2"/>
  <c r="M11" i="2"/>
  <c r="N11" i="2"/>
  <c r="O11" i="2"/>
  <c r="P11" i="2"/>
  <c r="Q11" i="2"/>
  <c r="R11" i="2"/>
  <c r="S11" i="2"/>
  <c r="T11" i="2"/>
  <c r="U11" i="2"/>
  <c r="V11" i="2"/>
  <c r="W11" i="2"/>
  <c r="X11" i="2"/>
  <c r="Y11" i="2"/>
  <c r="Z11" i="2"/>
  <c r="AA11" i="2"/>
  <c r="AB11" i="2"/>
  <c r="AC11" i="2"/>
  <c r="AD11" i="2"/>
  <c r="AE11" i="2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AT11" i="2"/>
  <c r="AU11" i="2"/>
  <c r="AV11" i="2"/>
  <c r="AW11" i="2"/>
  <c r="AX11" i="2"/>
  <c r="AY11" i="2"/>
  <c r="AZ11" i="2"/>
  <c r="BA11" i="2"/>
  <c r="BB11" i="2"/>
  <c r="BC11" i="2"/>
  <c r="BD11" i="2"/>
  <c r="BE11" i="2"/>
  <c r="BF11" i="2"/>
  <c r="BG11" i="2"/>
  <c r="BH11" i="2"/>
  <c r="BI11" i="2"/>
  <c r="BJ11" i="2"/>
  <c r="BK11" i="2"/>
  <c r="BL11" i="2"/>
  <c r="BM11" i="2"/>
  <c r="BN11" i="2"/>
  <c r="BO11" i="2"/>
  <c r="BP11" i="2"/>
  <c r="BQ11" i="2"/>
  <c r="BR11" i="2"/>
  <c r="BS11" i="2"/>
  <c r="BT11" i="2"/>
  <c r="BU11" i="2"/>
  <c r="BV11" i="2"/>
  <c r="BW11" i="2"/>
  <c r="BX11" i="2"/>
  <c r="BY11" i="2"/>
  <c r="BZ11" i="2"/>
  <c r="CA11" i="2"/>
  <c r="CB11" i="2"/>
  <c r="CC11" i="2"/>
  <c r="CD11" i="2"/>
  <c r="CE11" i="2"/>
  <c r="CF11" i="2"/>
  <c r="CG11" i="2"/>
  <c r="CH11" i="2"/>
  <c r="CI11" i="2"/>
  <c r="CJ11" i="2"/>
  <c r="CK11" i="2"/>
  <c r="CL11" i="2"/>
  <c r="CM11" i="2"/>
  <c r="CN11" i="2"/>
  <c r="CO11" i="2"/>
  <c r="CP11" i="2"/>
  <c r="CQ11" i="2"/>
  <c r="CR11" i="2"/>
  <c r="CS11" i="2"/>
  <c r="CT11" i="2"/>
  <c r="CU11" i="2"/>
  <c r="CV11" i="2"/>
  <c r="CW11" i="2"/>
  <c r="CX11" i="2"/>
  <c r="CY11" i="2"/>
  <c r="CZ11" i="2"/>
  <c r="DA11" i="2"/>
  <c r="DB11" i="2"/>
  <c r="DC11" i="2"/>
  <c r="DD11" i="2"/>
  <c r="DE11" i="2"/>
  <c r="DF11" i="2"/>
  <c r="DG11" i="2"/>
  <c r="DH11" i="2"/>
  <c r="DI11" i="2"/>
  <c r="DJ11" i="2"/>
  <c r="DK11" i="2"/>
  <c r="DL11" i="2"/>
  <c r="DM11" i="2"/>
  <c r="DN11" i="2"/>
  <c r="DO11" i="2"/>
  <c r="DP11" i="2"/>
  <c r="DQ11" i="2"/>
  <c r="DR11" i="2"/>
  <c r="DS11" i="2"/>
  <c r="DT11" i="2"/>
  <c r="DU11" i="2"/>
  <c r="DV11" i="2"/>
  <c r="DW11" i="2"/>
  <c r="DX11" i="2"/>
  <c r="DY11" i="2"/>
  <c r="DZ11" i="2"/>
  <c r="EA11" i="2"/>
  <c r="EB11" i="2"/>
  <c r="EC11" i="2"/>
  <c r="ED11" i="2"/>
  <c r="EE11" i="2"/>
  <c r="EF11" i="2"/>
  <c r="EG11" i="2"/>
  <c r="EH11" i="2"/>
  <c r="EI11" i="2"/>
  <c r="EJ11" i="2"/>
  <c r="EK11" i="2"/>
  <c r="EL11" i="2"/>
  <c r="EM11" i="2"/>
  <c r="EN11" i="2"/>
  <c r="EO11" i="2"/>
  <c r="EP11" i="2"/>
  <c r="EQ11" i="2"/>
  <c r="ER11" i="2"/>
  <c r="ES11" i="2"/>
  <c r="ET11" i="2"/>
  <c r="EU11" i="2"/>
  <c r="EV11" i="2"/>
  <c r="EW11" i="2"/>
  <c r="EX11" i="2"/>
  <c r="EY11" i="2"/>
  <c r="EZ11" i="2"/>
  <c r="FA11" i="2"/>
  <c r="FB11" i="2"/>
  <c r="FC11" i="2"/>
  <c r="FD11" i="2"/>
  <c r="FE11" i="2"/>
  <c r="FF11" i="2"/>
  <c r="FG11" i="2"/>
  <c r="FH11" i="2"/>
  <c r="FI11" i="2"/>
  <c r="FJ11" i="2"/>
  <c r="FK11" i="2"/>
  <c r="FL11" i="2"/>
  <c r="FM11" i="2"/>
  <c r="FN11" i="2"/>
  <c r="FO11" i="2"/>
  <c r="FP11" i="2"/>
  <c r="FQ11" i="2"/>
  <c r="FR11" i="2"/>
  <c r="FS11" i="2"/>
  <c r="FT11" i="2"/>
  <c r="FU11" i="2"/>
  <c r="FV11" i="2"/>
  <c r="FW11" i="2"/>
  <c r="FX11" i="2"/>
  <c r="FY11" i="2"/>
  <c r="FZ11" i="2"/>
  <c r="GA11" i="2"/>
  <c r="GB11" i="2"/>
  <c r="GC11" i="2"/>
  <c r="GD11" i="2"/>
  <c r="GE11" i="2"/>
  <c r="GF11" i="2"/>
  <c r="GG11" i="2"/>
  <c r="GH11" i="2"/>
  <c r="GI11" i="2"/>
  <c r="GJ11" i="2"/>
  <c r="GK11" i="2"/>
  <c r="GL11" i="2"/>
  <c r="GM11" i="2"/>
  <c r="GN11" i="2"/>
  <c r="GO11" i="2"/>
  <c r="GP11" i="2"/>
  <c r="GQ11" i="2"/>
  <c r="GR11" i="2"/>
  <c r="GS11" i="2"/>
  <c r="GT11" i="2"/>
  <c r="GU11" i="2"/>
  <c r="GV11" i="2"/>
  <c r="GW11" i="2"/>
  <c r="GX11" i="2"/>
  <c r="GY11" i="2"/>
  <c r="GZ11" i="2"/>
  <c r="HA11" i="2"/>
  <c r="HB11" i="2"/>
  <c r="HC11" i="2"/>
  <c r="HD11" i="2"/>
  <c r="HE11" i="2"/>
  <c r="HF11" i="2"/>
  <c r="HG11" i="2"/>
  <c r="HH11" i="2"/>
  <c r="HI11" i="2"/>
  <c r="HJ11" i="2"/>
  <c r="HK11" i="2"/>
  <c r="HL11" i="2"/>
  <c r="HM11" i="2"/>
  <c r="HN11" i="2"/>
  <c r="HO11" i="2"/>
  <c r="HP11" i="2"/>
  <c r="HQ11" i="2"/>
  <c r="HR11" i="2"/>
  <c r="HS11" i="2"/>
  <c r="HT11" i="2"/>
  <c r="HU11" i="2"/>
  <c r="HV11" i="2"/>
  <c r="HW11" i="2"/>
  <c r="HX11" i="2"/>
  <c r="HY11" i="2"/>
  <c r="HZ11" i="2"/>
  <c r="IA11" i="2"/>
  <c r="IB11" i="2"/>
  <c r="IC11" i="2"/>
  <c r="ID11" i="2"/>
  <c r="IE11" i="2"/>
  <c r="IF11" i="2"/>
  <c r="IG11" i="2"/>
  <c r="IH11" i="2"/>
  <c r="II11" i="2"/>
  <c r="IJ11" i="2"/>
  <c r="IK11" i="2"/>
  <c r="IL11" i="2"/>
  <c r="IM11" i="2"/>
  <c r="IN11" i="2"/>
  <c r="IO11" i="2"/>
  <c r="IP11" i="2"/>
  <c r="IQ11" i="2"/>
  <c r="IR11" i="2"/>
  <c r="IS11" i="2"/>
  <c r="IT11" i="2"/>
  <c r="IU11" i="2"/>
  <c r="IV11" i="2"/>
  <c r="IW11" i="2"/>
  <c r="IX11" i="2"/>
  <c r="IY11" i="2"/>
  <c r="IZ11" i="2"/>
  <c r="JA11" i="2"/>
  <c r="JB11" i="2"/>
  <c r="JC11" i="2"/>
  <c r="JD11" i="2"/>
  <c r="JE11" i="2"/>
  <c r="JF11" i="2"/>
  <c r="JG11" i="2"/>
  <c r="JH11" i="2"/>
  <c r="JI11" i="2"/>
  <c r="JJ11" i="2"/>
  <c r="JK11" i="2"/>
  <c r="JL11" i="2"/>
  <c r="JM11" i="2"/>
  <c r="JN11" i="2"/>
  <c r="JO11" i="2"/>
  <c r="JP11" i="2"/>
  <c r="JQ11" i="2"/>
  <c r="JR11" i="2"/>
  <c r="JS11" i="2"/>
  <c r="JT11" i="2"/>
  <c r="JU11" i="2"/>
  <c r="JV11" i="2"/>
  <c r="JW11" i="2"/>
  <c r="JX11" i="2"/>
  <c r="JY11" i="2"/>
  <c r="JZ11" i="2"/>
  <c r="KA11" i="2"/>
  <c r="KB11" i="2"/>
  <c r="KC11" i="2"/>
  <c r="KD11" i="2"/>
  <c r="KE11" i="2"/>
  <c r="KF11" i="2"/>
  <c r="KG11" i="2"/>
  <c r="KH11" i="2"/>
  <c r="KI11" i="2"/>
  <c r="KJ11" i="2"/>
  <c r="KK11" i="2"/>
  <c r="KL11" i="2"/>
  <c r="KM11" i="2"/>
  <c r="KN11" i="2"/>
  <c r="KO11" i="2"/>
  <c r="KP11" i="2"/>
  <c r="KQ11" i="2"/>
  <c r="KR11" i="2"/>
  <c r="KS11" i="2"/>
  <c r="KT11" i="2"/>
  <c r="KU11" i="2"/>
  <c r="KV11" i="2"/>
  <c r="KW11" i="2"/>
  <c r="KX11" i="2"/>
  <c r="KY11" i="2"/>
  <c r="KZ11" i="2"/>
  <c r="LA11" i="2"/>
  <c r="LB11" i="2"/>
  <c r="LC11" i="2"/>
  <c r="LD11" i="2"/>
  <c r="LE11" i="2"/>
  <c r="LF11" i="2"/>
  <c r="LG11" i="2"/>
  <c r="LH11" i="2"/>
  <c r="LI11" i="2"/>
  <c r="LJ11" i="2"/>
  <c r="LK11" i="2"/>
  <c r="LL11" i="2"/>
  <c r="LM11" i="2"/>
  <c r="LN11" i="2"/>
  <c r="LO11" i="2"/>
  <c r="LP11" i="2"/>
  <c r="LQ11" i="2"/>
  <c r="LR11" i="2"/>
  <c r="LS11" i="2"/>
  <c r="LT11" i="2"/>
  <c r="LU11" i="2"/>
  <c r="LV11" i="2"/>
  <c r="LW11" i="2"/>
  <c r="LX11" i="2"/>
  <c r="LY11" i="2"/>
  <c r="LZ11" i="2"/>
  <c r="MA11" i="2"/>
  <c r="MB11" i="2"/>
  <c r="MC11" i="2"/>
  <c r="MD11" i="2"/>
  <c r="ME11" i="2"/>
  <c r="MF11" i="2"/>
  <c r="MG11" i="2"/>
  <c r="MH11" i="2"/>
  <c r="MI11" i="2"/>
  <c r="MJ11" i="2"/>
  <c r="MK11" i="2"/>
  <c r="ML11" i="2"/>
  <c r="MM11" i="2"/>
  <c r="MN11" i="2"/>
  <c r="MO11" i="2"/>
  <c r="MP11" i="2"/>
  <c r="MQ11" i="2"/>
  <c r="MR11" i="2"/>
  <c r="MS11" i="2"/>
  <c r="MT11" i="2"/>
  <c r="MU11" i="2"/>
  <c r="MV11" i="2"/>
  <c r="MW11" i="2"/>
  <c r="MX11" i="2"/>
  <c r="MY11" i="2"/>
  <c r="MZ11" i="2"/>
  <c r="NA11" i="2"/>
  <c r="NB11" i="2"/>
  <c r="NC11" i="2"/>
  <c r="ND11" i="2"/>
  <c r="NE11" i="2"/>
  <c r="NF11" i="2"/>
  <c r="NG11" i="2"/>
  <c r="NH11" i="2"/>
  <c r="NI11" i="2"/>
  <c r="NJ11" i="2"/>
  <c r="NK11" i="2"/>
  <c r="NL11" i="2"/>
  <c r="NM11" i="2"/>
  <c r="NN11" i="2"/>
  <c r="NO11" i="2"/>
  <c r="NP11" i="2"/>
  <c r="NQ11" i="2"/>
  <c r="NR11" i="2"/>
  <c r="NS11" i="2"/>
  <c r="NT11" i="2"/>
  <c r="NU11" i="2"/>
  <c r="NV11" i="2"/>
  <c r="NW11" i="2"/>
  <c r="NX11" i="2"/>
  <c r="NY11" i="2"/>
  <c r="NZ11" i="2"/>
  <c r="OA11" i="2"/>
  <c r="F9" i="2"/>
  <c r="F10" i="2"/>
  <c r="F11" i="2"/>
  <c r="F8" i="2"/>
  <c r="C13" i="1" l="1"/>
  <c r="D13" i="1" s="1"/>
  <c r="E13" i="1" s="1"/>
  <c r="F13" i="1" s="1"/>
  <c r="G13" i="1" s="1"/>
  <c r="H13" i="1" s="1"/>
  <c r="I13" i="1" s="1"/>
  <c r="J13" i="1" s="1"/>
  <c r="K13" i="1" s="1"/>
  <c r="L13" i="1" s="1"/>
  <c r="M13" i="1" s="1"/>
  <c r="N13" i="1" s="1"/>
  <c r="O13" i="1" s="1"/>
  <c r="P13" i="1" s="1"/>
  <c r="Q13" i="1" s="1"/>
  <c r="R13" i="1" s="1"/>
  <c r="S13" i="1" s="1"/>
  <c r="T13" i="1" s="1"/>
  <c r="U13" i="1" s="1"/>
  <c r="V13" i="1" s="1"/>
  <c r="W13" i="1" s="1"/>
  <c r="X13" i="1" s="1"/>
  <c r="Y13" i="1" s="1"/>
  <c r="Z13" i="1" s="1"/>
  <c r="AA13" i="1" s="1"/>
  <c r="AB13" i="1" s="1"/>
</calcChain>
</file>

<file path=xl/sharedStrings.xml><?xml version="1.0" encoding="utf-8"?>
<sst xmlns="http://schemas.openxmlformats.org/spreadsheetml/2006/main" count="1448" uniqueCount="489">
  <si>
    <t>Règle indexation</t>
  </si>
  <si>
    <t>Mois de revalorisation</t>
  </si>
  <si>
    <t>Revalorisation</t>
  </si>
  <si>
    <t>Commentaires</t>
  </si>
  <si>
    <t>SMIC</t>
  </si>
  <si>
    <t>IPC du premier quintile et moitié du gain de pouvoir d'achat du salaire horaire moyen des ouvriers et des employés</t>
  </si>
  <si>
    <t>1er janvier (1er mai)</t>
  </si>
  <si>
    <t>0.9% (2.65%)</t>
  </si>
  <si>
    <t>Pensions de retraites</t>
  </si>
  <si>
    <t>Moyenne de l'IPC des 12 derniers mois avant revalo</t>
  </si>
  <si>
    <t>1er janvier (avant soit le 1er avril soit le 1er octobre entre 2014 et 2017)</t>
  </si>
  <si>
    <t>Possible nouvelle indexation le premier juillet de l'ordre de 4.5% (déclaration BLM de début Avril)</t>
  </si>
  <si>
    <t>RSA</t>
  </si>
  <si>
    <t>1er Avril</t>
  </si>
  <si>
    <t>Idem que les pensions de retraites ?</t>
  </si>
  <si>
    <t>Prime d'activité</t>
  </si>
  <si>
    <t>Allocation logement</t>
  </si>
  <si>
    <t>Prestations familiales</t>
  </si>
  <si>
    <t>Loyers</t>
  </si>
  <si>
    <t>Indexation à la date d'anniversaire du bail, sur la base de l'IRL du trimestre précédent</t>
  </si>
  <si>
    <t>Date anniversaire du bail</t>
  </si>
  <si>
    <t>2.5% (T1 2022)</t>
  </si>
  <si>
    <t>Libellé</t>
  </si>
  <si>
    <t>idBank</t>
  </si>
  <si>
    <t>Dernière mise à jour</t>
  </si>
  <si>
    <t>Période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</si>
  <si>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</si>
  <si>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</si>
  <si>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</si>
  <si>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</si>
  <si>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</si>
  <si>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</si>
  <si>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</si>
  <si>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</si>
  <si>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</si>
  <si>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</si>
  <si>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</si>
  <si>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</si>
  <si>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</si>
  <si>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</si>
  <si>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</si>
  <si>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</si>
  <si>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</si>
  <si>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</si>
  <si>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</si>
  <si>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</si>
  <si>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</si>
  <si>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</si>
  <si>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</si>
  <si>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</si>
  <si>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</si>
  <si>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</si>
  <si>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</si>
  <si>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</si>
  <si>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</si>
  <si>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</si>
  <si>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</si>
  <si>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</si>
  <si>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</si>
  <si>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</si>
  <si>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</si>
  <si>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</si>
  <si>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</si>
  <si>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</si>
  <si>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</si>
  <si>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</si>
  <si>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</si>
  <si>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</si>
  <si>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</si>
  <si>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</si>
  <si>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</si>
  <si>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</si>
  <si>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</si>
  <si>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</si>
  <si>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</si>
  <si>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</si>
  <si>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</si>
  <si>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2017-12</t>
  </si>
  <si>
    <t>2017-11</t>
  </si>
  <si>
    <t>2017-10</t>
  </si>
  <si>
    <t>2017-09</t>
  </si>
  <si>
    <t>2017-08</t>
  </si>
  <si>
    <t>2017-07</t>
  </si>
  <si>
    <t>2017-06</t>
  </si>
  <si>
    <t>2017-05</t>
  </si>
  <si>
    <t>2017-04</t>
  </si>
  <si>
    <t>2017-03</t>
  </si>
  <si>
    <t>2017-02</t>
  </si>
  <si>
    <t>2017-01</t>
  </si>
  <si>
    <t>2016-12</t>
  </si>
  <si>
    <t>2016-11</t>
  </si>
  <si>
    <t>2016-10</t>
  </si>
  <si>
    <t>2016-09</t>
  </si>
  <si>
    <t>2016-08</t>
  </si>
  <si>
    <t>2016-07</t>
  </si>
  <si>
    <t>2016-06</t>
  </si>
  <si>
    <t>2016-05</t>
  </si>
  <si>
    <t>2016-04</t>
  </si>
  <si>
    <t>2016-03</t>
  </si>
  <si>
    <t>2016-02</t>
  </si>
  <si>
    <t>2016-01</t>
  </si>
  <si>
    <t>2015-12</t>
  </si>
  <si>
    <t>2015-11</t>
  </si>
  <si>
    <t>2015-10</t>
  </si>
  <si>
    <t>2015-09</t>
  </si>
  <si>
    <t>2015-08</t>
  </si>
  <si>
    <t>2015-07</t>
  </si>
  <si>
    <t>2015-06</t>
  </si>
  <si>
    <t>2015-05</t>
  </si>
  <si>
    <t>2015-04</t>
  </si>
  <si>
    <t>2015-03</t>
  </si>
  <si>
    <t>2015-02</t>
  </si>
  <si>
    <t>2015-01</t>
  </si>
  <si>
    <t>2014-12</t>
  </si>
  <si>
    <t>2014-11</t>
  </si>
  <si>
    <t>2014-10</t>
  </si>
  <si>
    <t>2014-09</t>
  </si>
  <si>
    <t>2014-08</t>
  </si>
  <si>
    <t>2014-07</t>
  </si>
  <si>
    <t>2014-06</t>
  </si>
  <si>
    <t>2014-05</t>
  </si>
  <si>
    <t>2014-04</t>
  </si>
  <si>
    <t>2014-03</t>
  </si>
  <si>
    <t>2014-02</t>
  </si>
  <si>
    <t>2014-01</t>
  </si>
  <si>
    <t>2013-12</t>
  </si>
  <si>
    <t>2013-11</t>
  </si>
  <si>
    <t>2013-10</t>
  </si>
  <si>
    <t>2013-09</t>
  </si>
  <si>
    <t>2013-08</t>
  </si>
  <si>
    <t>2013-07</t>
  </si>
  <si>
    <t>2013-06</t>
  </si>
  <si>
    <t>2013-05</t>
  </si>
  <si>
    <t>2013-04</t>
  </si>
  <si>
    <t>2013-03</t>
  </si>
  <si>
    <t>2013-02</t>
  </si>
  <si>
    <t>2013-01</t>
  </si>
  <si>
    <t>2012-12</t>
  </si>
  <si>
    <t>2012-11</t>
  </si>
  <si>
    <t>2012-10</t>
  </si>
  <si>
    <t>2012-09</t>
  </si>
  <si>
    <t>2012-08</t>
  </si>
  <si>
    <t>2012-07</t>
  </si>
  <si>
    <t>2012-06</t>
  </si>
  <si>
    <t>2012-05</t>
  </si>
  <si>
    <t>2012-04</t>
  </si>
  <si>
    <t>2012-03</t>
  </si>
  <si>
    <t>2012-02</t>
  </si>
  <si>
    <t>2012-01</t>
  </si>
  <si>
    <t>2011-12</t>
  </si>
  <si>
    <t>2011-11</t>
  </si>
  <si>
    <t>2011-10</t>
  </si>
  <si>
    <t>2011-09</t>
  </si>
  <si>
    <t>2011-08</t>
  </si>
  <si>
    <t>2011-07</t>
  </si>
  <si>
    <t>2011-06</t>
  </si>
  <si>
    <t>2011-05</t>
  </si>
  <si>
    <t>2011-04</t>
  </si>
  <si>
    <t>2011-03</t>
  </si>
  <si>
    <t>2011-02</t>
  </si>
  <si>
    <t>2011-01</t>
  </si>
  <si>
    <t>2010-12</t>
  </si>
  <si>
    <t>2010-11</t>
  </si>
  <si>
    <t>2010-10</t>
  </si>
  <si>
    <t>2010-09</t>
  </si>
  <si>
    <t>2010-08</t>
  </si>
  <si>
    <t>2010-07</t>
  </si>
  <si>
    <t>2010-06</t>
  </si>
  <si>
    <t>2010-05</t>
  </si>
  <si>
    <t>2010-04</t>
  </si>
  <si>
    <t>2010-03</t>
  </si>
  <si>
    <t>2010-02</t>
  </si>
  <si>
    <t>2010-01</t>
  </si>
  <si>
    <t>2009-12</t>
  </si>
  <si>
    <t>2009-11</t>
  </si>
  <si>
    <t>2009-10</t>
  </si>
  <si>
    <t>2009-09</t>
  </si>
  <si>
    <t>2009-08</t>
  </si>
  <si>
    <t>2009-07</t>
  </si>
  <si>
    <t>2009-06</t>
  </si>
  <si>
    <t>2009-05</t>
  </si>
  <si>
    <t>2009-04</t>
  </si>
  <si>
    <t>2009-03</t>
  </si>
  <si>
    <t>2009-02</t>
  </si>
  <si>
    <t>2009-01</t>
  </si>
  <si>
    <t>2008-12</t>
  </si>
  <si>
    <t>2008-11</t>
  </si>
  <si>
    <t>2008-10</t>
  </si>
  <si>
    <t>2008-09</t>
  </si>
  <si>
    <t>2008-08</t>
  </si>
  <si>
    <t>2008-07</t>
  </si>
  <si>
    <t>2008-06</t>
  </si>
  <si>
    <t>2008-05</t>
  </si>
  <si>
    <t>2008-04</t>
  </si>
  <si>
    <t>2008-03</t>
  </si>
  <si>
    <t>2008-02</t>
  </si>
  <si>
    <t>2008-01</t>
  </si>
  <si>
    <t>2007-12</t>
  </si>
  <si>
    <t>2007-11</t>
  </si>
  <si>
    <t>2007-10</t>
  </si>
  <si>
    <t>2007-09</t>
  </si>
  <si>
    <t>2007-08</t>
  </si>
  <si>
    <t>2007-07</t>
  </si>
  <si>
    <t>2007-06</t>
  </si>
  <si>
    <t>2007-05</t>
  </si>
  <si>
    <t>2007-04</t>
  </si>
  <si>
    <t>2007-03</t>
  </si>
  <si>
    <t>2007-02</t>
  </si>
  <si>
    <t>2007-01</t>
  </si>
  <si>
    <t>2006-12</t>
  </si>
  <si>
    <t>2006-11</t>
  </si>
  <si>
    <t>2006-10</t>
  </si>
  <si>
    <t>2006-09</t>
  </si>
  <si>
    <t>2006-08</t>
  </si>
  <si>
    <t>2006-07</t>
  </si>
  <si>
    <t>2006-06</t>
  </si>
  <si>
    <t>2006-05</t>
  </si>
  <si>
    <t>2006-04</t>
  </si>
  <si>
    <t>2006-03</t>
  </si>
  <si>
    <t>2006-02</t>
  </si>
  <si>
    <t>2006-01</t>
  </si>
  <si>
    <t>2005-12</t>
  </si>
  <si>
    <t>2005-11</t>
  </si>
  <si>
    <t>2005-10</t>
  </si>
  <si>
    <t>2005-09</t>
  </si>
  <si>
    <t>2005-08</t>
  </si>
  <si>
    <t>2005-07</t>
  </si>
  <si>
    <t>2005-06</t>
  </si>
  <si>
    <t>2005-05</t>
  </si>
  <si>
    <t>2005-04</t>
  </si>
  <si>
    <t>2005-03</t>
  </si>
  <si>
    <t>2005-02</t>
  </si>
  <si>
    <t>2005-01</t>
  </si>
  <si>
    <t>2004-12</t>
  </si>
  <si>
    <t>2004-11</t>
  </si>
  <si>
    <t>2004-10</t>
  </si>
  <si>
    <t>2004-09</t>
  </si>
  <si>
    <t>2004-08</t>
  </si>
  <si>
    <t>2004-07</t>
  </si>
  <si>
    <t>2004-06</t>
  </si>
  <si>
    <t>2004-05</t>
  </si>
  <si>
    <t>2004-04</t>
  </si>
  <si>
    <t>2004-03</t>
  </si>
  <si>
    <t>2004-02</t>
  </si>
  <si>
    <t>2004-01</t>
  </si>
  <si>
    <t>2003-12</t>
  </si>
  <si>
    <t>2003-11</t>
  </si>
  <si>
    <t>2003-10</t>
  </si>
  <si>
    <t>2003-09</t>
  </si>
  <si>
    <t>2003-08</t>
  </si>
  <si>
    <t>2003-07</t>
  </si>
  <si>
    <t>2003-06</t>
  </si>
  <si>
    <t>2003-05</t>
  </si>
  <si>
    <t>2003-04</t>
  </si>
  <si>
    <t>2003-03</t>
  </si>
  <si>
    <t>2003-02</t>
  </si>
  <si>
    <t>2003-01</t>
  </si>
  <si>
    <t>2002-12</t>
  </si>
  <si>
    <t>2002-11</t>
  </si>
  <si>
    <t>2002-10</t>
  </si>
  <si>
    <t>2002-09</t>
  </si>
  <si>
    <t>2002-08</t>
  </si>
  <si>
    <t>2002-07</t>
  </si>
  <si>
    <t>2002-06</t>
  </si>
  <si>
    <t>2002-05</t>
  </si>
  <si>
    <t>2002-04</t>
  </si>
  <si>
    <t>2002-03</t>
  </si>
  <si>
    <t>2002-02</t>
  </si>
  <si>
    <t>2002-01</t>
  </si>
  <si>
    <t>2001-12</t>
  </si>
  <si>
    <t>2001-11</t>
  </si>
  <si>
    <t>2001-10</t>
  </si>
  <si>
    <t>2001-09</t>
  </si>
  <si>
    <t>2001-08</t>
  </si>
  <si>
    <t>2001-07</t>
  </si>
  <si>
    <t>2001-06</t>
  </si>
  <si>
    <t>2001-05</t>
  </si>
  <si>
    <t>2001-04</t>
  </si>
  <si>
    <t>2001-03</t>
  </si>
  <si>
    <t>2001-02</t>
  </si>
  <si>
    <t>2001-01</t>
  </si>
  <si>
    <t>2000-12</t>
  </si>
  <si>
    <t>2000-11</t>
  </si>
  <si>
    <t>2000-10</t>
  </si>
  <si>
    <t>2000-09</t>
  </si>
  <si>
    <t>2000-08</t>
  </si>
  <si>
    <t>2000-07</t>
  </si>
  <si>
    <t>2000-06</t>
  </si>
  <si>
    <t>2000-05</t>
  </si>
  <si>
    <t>2000-04</t>
  </si>
  <si>
    <t>2000-03</t>
  </si>
  <si>
    <t>2000-02</t>
  </si>
  <si>
    <t>2000-01</t>
  </si>
  <si>
    <t>1999-12</t>
  </si>
  <si>
    <t>1999-11</t>
  </si>
  <si>
    <t>1999-10</t>
  </si>
  <si>
    <t>1999-09</t>
  </si>
  <si>
    <t>1999-08</t>
  </si>
  <si>
    <t>1999-07</t>
  </si>
  <si>
    <t>1999-06</t>
  </si>
  <si>
    <t>1999-05</t>
  </si>
  <si>
    <t>1999-04</t>
  </si>
  <si>
    <t>1999-03</t>
  </si>
  <si>
    <t>1999-02</t>
  </si>
  <si>
    <t>1999-01</t>
  </si>
  <si>
    <t>1998-12</t>
  </si>
  <si>
    <t>1998-11</t>
  </si>
  <si>
    <t>1998-10</t>
  </si>
  <si>
    <t>1998-09</t>
  </si>
  <si>
    <t>1998-08</t>
  </si>
  <si>
    <t>1998-07</t>
  </si>
  <si>
    <t>1998-06</t>
  </si>
  <si>
    <t>1998-05</t>
  </si>
  <si>
    <t>1998-04</t>
  </si>
  <si>
    <t>1998-03</t>
  </si>
  <si>
    <t>1998-02</t>
  </si>
  <si>
    <t>1998-01</t>
  </si>
  <si>
    <t>1997-12</t>
  </si>
  <si>
    <t>1997-11</t>
  </si>
  <si>
    <t>1997-10</t>
  </si>
  <si>
    <t>1997-09</t>
  </si>
  <si>
    <t>1997-08</t>
  </si>
  <si>
    <t>1997-07</t>
  </si>
  <si>
    <t>1997-06</t>
  </si>
  <si>
    <t>1997-05</t>
  </si>
  <si>
    <t>1997-04</t>
  </si>
  <si>
    <t>1997-03</t>
  </si>
  <si>
    <t>1997-02</t>
  </si>
  <si>
    <t>1997-01</t>
  </si>
  <si>
    <t>1996-12</t>
  </si>
  <si>
    <t>1996-11</t>
  </si>
  <si>
    <t>1996-10</t>
  </si>
  <si>
    <t>1996-09</t>
  </si>
  <si>
    <t>1996-08</t>
  </si>
  <si>
    <t>1996-07</t>
  </si>
  <si>
    <t>1996-06</t>
  </si>
  <si>
    <t>1996-05</t>
  </si>
  <si>
    <t>1996-04</t>
  </si>
  <si>
    <t>1996-03</t>
  </si>
  <si>
    <t>1996-02</t>
  </si>
  <si>
    <t>1996-01</t>
  </si>
  <si>
    <t>1995-12</t>
  </si>
  <si>
    <t>1995-11</t>
  </si>
  <si>
    <t>1995-10</t>
  </si>
  <si>
    <t>1995-09</t>
  </si>
  <si>
    <t>1995-08</t>
  </si>
  <si>
    <t>1995-07</t>
  </si>
  <si>
    <t>1995-06</t>
  </si>
  <si>
    <t>1995-05</t>
  </si>
  <si>
    <t>1995-04</t>
  </si>
  <si>
    <t>1995-03</t>
  </si>
  <si>
    <t>1995-02</t>
  </si>
  <si>
    <t>1995-01</t>
  </si>
  <si>
    <t>1994-12</t>
  </si>
  <si>
    <t>1994-11</t>
  </si>
  <si>
    <t>1994-10</t>
  </si>
  <si>
    <t>1994-09</t>
  </si>
  <si>
    <t>1994-08</t>
  </si>
  <si>
    <t>1994-07</t>
  </si>
  <si>
    <t>1994-06</t>
  </si>
  <si>
    <t>1994-05</t>
  </si>
  <si>
    <t>1994-04</t>
  </si>
  <si>
    <t>1994-03</t>
  </si>
  <si>
    <t>1994-02</t>
  </si>
  <si>
    <t>1994-01</t>
  </si>
  <si>
    <t>1993-12</t>
  </si>
  <si>
    <t>1993-11</t>
  </si>
  <si>
    <t>1993-10</t>
  </si>
  <si>
    <t>1993-09</t>
  </si>
  <si>
    <t>1993-08</t>
  </si>
  <si>
    <t>1993-07</t>
  </si>
  <si>
    <t>1993-06</t>
  </si>
  <si>
    <t>1993-05</t>
  </si>
  <si>
    <t>1993-04</t>
  </si>
  <si>
    <t>1993-03</t>
  </si>
  <si>
    <t>1993-02</t>
  </si>
  <si>
    <t>1993-01</t>
  </si>
  <si>
    <t>1992-12</t>
  </si>
  <si>
    <t>1992-11</t>
  </si>
  <si>
    <t>1992-10</t>
  </si>
  <si>
    <t>1992-09</t>
  </si>
  <si>
    <t>1992-08</t>
  </si>
  <si>
    <t>1992-07</t>
  </si>
  <si>
    <t>1992-06</t>
  </si>
  <si>
    <t>1992-05</t>
  </si>
  <si>
    <t>1992-04</t>
  </si>
  <si>
    <t>1992-03</t>
  </si>
  <si>
    <t>1992-02</t>
  </si>
  <si>
    <t>1992-01</t>
  </si>
  <si>
    <t>1991-12</t>
  </si>
  <si>
    <t>1991-11</t>
  </si>
  <si>
    <t>1991-10</t>
  </si>
  <si>
    <t>1991-09</t>
  </si>
  <si>
    <t>1991-08</t>
  </si>
  <si>
    <t>1991-07</t>
  </si>
  <si>
    <t>1991-06</t>
  </si>
  <si>
    <t>1991-05</t>
  </si>
  <si>
    <t>1991-04</t>
  </si>
  <si>
    <t>1991-03</t>
  </si>
  <si>
    <t>1991-02</t>
  </si>
  <si>
    <t>1991-01</t>
  </si>
  <si>
    <t>1990-12</t>
  </si>
  <si>
    <t>1990-11</t>
  </si>
  <si>
    <t>1990-10</t>
  </si>
  <si>
    <t>1990-09</t>
  </si>
  <si>
    <t>1990-08</t>
  </si>
  <si>
    <t>1990-07</t>
  </si>
  <si>
    <t>1990-06</t>
  </si>
  <si>
    <t>1990-05</t>
  </si>
  <si>
    <t>1990-04</t>
  </si>
  <si>
    <t>1990-03</t>
  </si>
  <si>
    <t>1990-02</t>
  </si>
  <si>
    <t>1990-01</t>
  </si>
  <si>
    <t>15/04/2022 08:45</t>
  </si>
  <si>
    <t/>
  </si>
  <si>
    <t>2022-04</t>
  </si>
  <si>
    <t>2022-05</t>
  </si>
  <si>
    <t>Pouvoir d'achat du SMIC</t>
  </si>
  <si>
    <t>(O)</t>
  </si>
  <si>
    <t>Pouvoir d'achat Pension de retraite</t>
  </si>
  <si>
    <t>PREST_FAM_TOT</t>
  </si>
  <si>
    <t xml:space="preserve"> PREST_FAM_AF</t>
  </si>
  <si>
    <t xml:space="preserve"> PREST_FAM_CF</t>
  </si>
  <si>
    <t xml:space="preserve"> PREST_FAM_ARS</t>
  </si>
  <si>
    <t xml:space="preserve"> PREST_FAM_AUTRES</t>
  </si>
  <si>
    <t>PREST_PAJE_CMG</t>
  </si>
  <si>
    <t xml:space="preserve"> PREST_PAJE_AUTRES</t>
  </si>
  <si>
    <t xml:space="preserve"> CHOMAGE</t>
  </si>
  <si>
    <t xml:space="preserve"> RETRAITES</t>
  </si>
  <si>
    <t xml:space="preserve"> PREST_PRECARITE_VIEIL</t>
  </si>
  <si>
    <t xml:space="preserve"> PREST_PRECARITE_HAND</t>
  </si>
  <si>
    <t xml:space="preserve"> PREST_PRECARITE_RSA</t>
  </si>
  <si>
    <t xml:space="preserve"> PPA</t>
  </si>
  <si>
    <t>PREST_PAJE_PREPARE</t>
  </si>
  <si>
    <t>PREST_LOGEMENT</t>
  </si>
  <si>
    <t>Indice CVS des prix à la consommation - Base 2015 - Ensemble des ménages - France - Ensemble</t>
  </si>
  <si>
    <t>001769682</t>
  </si>
  <si>
    <t>Indice des prix à la consommation - Base 2015 - Ensemble des ménages - France - Ensemble hors énergie</t>
  </si>
  <si>
    <t>001763851</t>
  </si>
  <si>
    <t>Indice des prix à la consommation - Base 2015 - Ensemble des ménages - France - Ensemble hors tabac</t>
  </si>
  <si>
    <t>001763852</t>
  </si>
  <si>
    <t>Indice des prix à la consommation - Base 2015 - Ensemble des ménages - France - Ensemble hors loyers et hors tabac</t>
  </si>
  <si>
    <t>001763862</t>
  </si>
  <si>
    <t>2017-T4</t>
  </si>
  <si>
    <t>2018-T1</t>
  </si>
  <si>
    <t>2018-T2</t>
  </si>
  <si>
    <t>2018-T3</t>
  </si>
  <si>
    <t>2018-T4</t>
  </si>
  <si>
    <t>2019-T1</t>
  </si>
  <si>
    <t>2019-T2</t>
  </si>
  <si>
    <t>2019-T3</t>
  </si>
  <si>
    <t>2019-T4</t>
  </si>
  <si>
    <t>2020-T1</t>
  </si>
  <si>
    <t>2020-T2</t>
  </si>
  <si>
    <t>2020-T3</t>
  </si>
  <si>
    <t>2020-T4</t>
  </si>
  <si>
    <t>2021-T1</t>
  </si>
  <si>
    <t>2021-T2</t>
  </si>
  <si>
    <t>2021-T3</t>
  </si>
  <si>
    <t>2021-T4</t>
  </si>
  <si>
    <t>2022-T1</t>
  </si>
  <si>
    <t>Indice de référence des loyers (IRL) - Variation annuelle</t>
  </si>
  <si>
    <t>001515334</t>
  </si>
  <si>
    <t>Date de parution au JO</t>
  </si>
  <si>
    <t>13/01/2018</t>
  </si>
  <si>
    <t>13/04/2018</t>
  </si>
  <si>
    <t>13/07/2018</t>
  </si>
  <si>
    <t>28/11/2018</t>
  </si>
  <si>
    <t>16/01/2019</t>
  </si>
  <si>
    <t>12/04/2019</t>
  </si>
  <si>
    <t>17/07/2019</t>
  </si>
  <si>
    <t>16/10/2019</t>
  </si>
  <si>
    <t>16/01/2020</t>
  </si>
  <si>
    <t>25/06/2020</t>
  </si>
  <si>
    <t>17/07/2020</t>
  </si>
  <si>
    <t>16/10/2020</t>
  </si>
  <si>
    <t>17/01/2021</t>
  </si>
  <si>
    <t>17/04/2021</t>
  </si>
  <si>
    <t>16/07/2021</t>
  </si>
  <si>
    <t>16/10/2021</t>
  </si>
  <si>
    <t>15/01/2022</t>
  </si>
  <si>
    <t>16/04/2022</t>
  </si>
  <si>
    <t>2017-T1</t>
  </si>
  <si>
    <t>2017-T2</t>
  </si>
  <si>
    <t>2017-T3</t>
  </si>
  <si>
    <t>14/04/2017</t>
  </si>
  <si>
    <t>16/07/2017</t>
  </si>
  <si>
    <t>13/10/2017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</si>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</sst>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#,##0\ &quot;€&quot;;[Red]\-#,##0\ &quot;€&quot;"/>
    <numFmt numFmtId="43" formatCode="_-* #,##0.00_-;\-* #,##0.00_-;_-* &quot;-&quot;??_-;_-@_-"/>
    <numFmt numFmtId="164" formatCode="_-* #,##0.000_-;\-* #,##0.000_-;_-* &quot;-&quot;??_-;_-@_-"/>
    <numFmt numFmtId="165" formatCode="0.0\ &quot;(A)&quot;"/>
    <numFmt numFmtId="167" formatCode="0.0%"/>
    <numFmt numFmtId="169" formatCode="00.0\ &quot;(A)&quot;"/>
    <numFmt numFmtId="170" formatCode="00.00\ &quot;(A)&quot;"/>
    <numFmt numFmtId="171" formatCode="000.00\ &quot;(A)&quot;"/>
    <numFmt numFmtId="172" formatCode="000.0\ &quot;(A)&quot;"/>
    <numFmt numFmtId="177" formatCode="0.00\ &quot;(A)&quot;"/>
    <numFmt numFmtId="179" formatCode="[$-40C]mmm\-yy;@"/>
    <numFmt numFmtId="181" formatCode="_-* #,##0.0_-;\-* #,##0.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9"/>
      <name val="Arial"/>
      <family val="2"/>
    </font>
    <font>
      <sz val="8"/>
      <name val="Calibri"/>
      <family val="2"/>
      <scheme val="minor"/>
    </font>
    <font>
      <b/>
      <sz val="9"/>
      <name val="Arial"/>
    </font>
    <font>
      <sz val="9"/>
      <name val="Arial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0" fontId="2" fillId="0" borderId="6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wrapText="1"/>
    </xf>
    <xf numFmtId="0" fontId="2" fillId="0" borderId="3" xfId="0" applyFont="1" applyBorder="1" applyAlignment="1">
      <alignment horizontal="center"/>
    </xf>
    <xf numFmtId="0" fontId="5" fillId="0" borderId="0" xfId="0" applyFont="1"/>
    <xf numFmtId="6" fontId="0" fillId="0" borderId="0" xfId="0" applyNumberFormat="1"/>
    <xf numFmtId="164" fontId="0" fillId="0" borderId="0" xfId="1" applyNumberFormat="1" applyFont="1"/>
    <xf numFmtId="0" fontId="4" fillId="0" borderId="9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67" fontId="0" fillId="0" borderId="0" xfId="2" applyNumberFormat="1" applyFont="1"/>
    <xf numFmtId="167" fontId="0" fillId="2" borderId="0" xfId="2" applyNumberFormat="1" applyFont="1" applyFill="1"/>
    <xf numFmtId="0" fontId="7" fillId="0" borderId="0" xfId="0" applyFont="1" applyAlignment="1">
      <alignment horizontal="center" vertical="center"/>
    </xf>
    <xf numFmtId="0" fontId="8" fillId="0" borderId="0" xfId="0" applyFont="1"/>
    <xf numFmtId="49" fontId="8" fillId="0" borderId="0" xfId="0" applyNumberFormat="1" applyFont="1" applyAlignment="1">
      <alignment horizontal="center" vertical="center" wrapText="1"/>
    </xf>
    <xf numFmtId="169" fontId="8" fillId="0" borderId="0" xfId="0" applyNumberFormat="1" applyFont="1"/>
    <xf numFmtId="170" fontId="8" fillId="0" borderId="0" xfId="0" applyNumberFormat="1" applyFont="1"/>
    <xf numFmtId="171" fontId="8" fillId="0" borderId="0" xfId="0" applyNumberFormat="1" applyFont="1"/>
    <xf numFmtId="172" fontId="8" fillId="0" borderId="0" xfId="0" applyNumberFormat="1" applyFont="1"/>
    <xf numFmtId="49" fontId="8" fillId="0" borderId="0" xfId="0" applyNumberFormat="1" applyFont="1" applyAlignment="1">
      <alignment horizontal="right"/>
    </xf>
    <xf numFmtId="167" fontId="8" fillId="0" borderId="0" xfId="2" applyNumberFormat="1" applyFont="1"/>
    <xf numFmtId="179" fontId="0" fillId="0" borderId="0" xfId="0" applyNumberFormat="1"/>
    <xf numFmtId="0" fontId="8" fillId="0" borderId="0" xfId="3" applyFont="1"/>
    <xf numFmtId="0" fontId="7" fillId="0" borderId="0" xfId="3" applyFont="1" applyAlignment="1">
      <alignment horizontal="center" vertical="center"/>
    </xf>
    <xf numFmtId="49" fontId="8" fillId="0" borderId="0" xfId="3" applyNumberFormat="1" applyFont="1" applyAlignment="1">
      <alignment horizontal="center" vertical="center" wrapText="1"/>
    </xf>
    <xf numFmtId="177" fontId="8" fillId="0" borderId="0" xfId="3" applyNumberFormat="1" applyFont="1"/>
    <xf numFmtId="165" fontId="8" fillId="0" borderId="0" xfId="3" applyNumberFormat="1" applyFont="1"/>
    <xf numFmtId="181" fontId="0" fillId="0" borderId="0" xfId="1" applyNumberFormat="1" applyFont="1"/>
  </cellXfs>
  <cellStyles count="4">
    <cellStyle name="Milliers" xfId="1" builtinId="3"/>
    <cellStyle name="Normal" xfId="0" builtinId="0"/>
    <cellStyle name="Normal 2" xfId="3" xr:uid="{1E405127-3577-4F13-B4C4-9CC86EE7595A}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'Règles Indexation'!$B$13:$AB$13</c:f>
              <c:numCache>
                <c:formatCode>_-* #\ ##0.000_-;\-* #\ ##0.000_-;_-* "-"??_-;_-@_-</c:formatCode>
                <c:ptCount val="27"/>
                <c:pt idx="0" formatCode="General">
                  <c:v>1</c:v>
                </c:pt>
                <c:pt idx="1">
                  <c:v>1.0002860411899315</c:v>
                </c:pt>
                <c:pt idx="2">
                  <c:v>1.0044837127027932</c:v>
                </c:pt>
                <c:pt idx="3">
                  <c:v>1.0046761241026021</c:v>
                </c:pt>
                <c:pt idx="4">
                  <c:v>1.0038099410278896</c:v>
                </c:pt>
                <c:pt idx="5">
                  <c:v>1.0028491734733069</c:v>
                </c:pt>
                <c:pt idx="6">
                  <c:v>0.99699969942646505</c:v>
                </c:pt>
                <c:pt idx="7">
                  <c:v>1.0013596182565456</c:v>
                </c:pt>
                <c:pt idx="8">
                  <c:v>1.0022201392690835</c:v>
                </c:pt>
                <c:pt idx="9">
                  <c:v>1.0026032509431162</c:v>
                </c:pt>
                <c:pt idx="10">
                  <c:v>1.0008779298611874</c:v>
                </c:pt>
                <c:pt idx="11">
                  <c:v>0.99963614582910154</c:v>
                </c:pt>
                <c:pt idx="12">
                  <c:v>1.0043313023037335</c:v>
                </c:pt>
                <c:pt idx="13">
                  <c:v>1.0044265447221596</c:v>
                </c:pt>
                <c:pt idx="14">
                  <c:v>1.0030928979442659</c:v>
                </c:pt>
                <c:pt idx="15">
                  <c:v>1.0014777644658559</c:v>
                </c:pt>
                <c:pt idx="16">
                  <c:v>0.99929960951713581</c:v>
                </c:pt>
                <c:pt idx="17">
                  <c:v>0.9974137827394095</c:v>
                </c:pt>
                <c:pt idx="18">
                  <c:v>0.99421995446542777</c:v>
                </c:pt>
                <c:pt idx="19">
                  <c:v>0.99104651488114071</c:v>
                </c:pt>
                <c:pt idx="20">
                  <c:v>0.99113925739610242</c:v>
                </c:pt>
                <c:pt idx="21">
                  <c:v>0.98668678342745364</c:v>
                </c:pt>
                <c:pt idx="22">
                  <c:v>0.98420466816121499</c:v>
                </c:pt>
                <c:pt idx="23">
                  <c:v>0.98237529145459568</c:v>
                </c:pt>
                <c:pt idx="24">
                  <c:v>1.0064125117116383</c:v>
                </c:pt>
                <c:pt idx="25">
                  <c:v>0.99899127464491022</c:v>
                </c:pt>
                <c:pt idx="26">
                  <c:v>0.98930209218426801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3B-4CAC-B713-12FE85D1D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6077024"/>
        <c:axId val="546075360"/>
      </c:lineChart>
      <c:catAx>
        <c:axId val="546077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6075360"/>
        <c:crosses val="autoZero"/>
        <c:auto val="1"/>
        <c:lblAlgn val="ctr"/>
        <c:lblOffset val="100"/>
        <c:noMultiLvlLbl val="0"/>
      </c:catAx>
      <c:valAx>
        <c:axId val="5460753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4607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7620</xdr:colOff>
      <xdr:row>13</xdr:row>
      <xdr:rowOff>80010</xdr:rowOff>
    </xdr:from>
    <xdr:to>
      <xdr:col>23</xdr:col>
      <xdr:colOff>617220</xdr:colOff>
      <xdr:row>28</xdr:row>
      <xdr:rowOff>80010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31275BF-7E79-B6E7-0087-5D2E7870C2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3504D-67A5-4BD7-A3B1-02439B55AE9A}">
  <dimension ref="A1:AD14"/>
  <sheetViews>
    <sheetView workbookViewId="0">
      <selection activeCell="C4" sqref="C4:C7"/>
    </sheetView>
  </sheetViews>
  <sheetFormatPr baseColWidth="10" defaultRowHeight="14.4" x14ac:dyDescent="0.3"/>
  <cols>
    <col min="1" max="1" width="75.109375" customWidth="1"/>
    <col min="2" max="2" width="55.5546875" customWidth="1"/>
    <col min="3" max="3" width="28.88671875" customWidth="1"/>
    <col min="5" max="5" width="29.33203125" customWidth="1"/>
  </cols>
  <sheetData>
    <row r="1" spans="1:30" ht="28.8" x14ac:dyDescent="0.3">
      <c r="A1" s="1"/>
      <c r="B1" s="2" t="s">
        <v>0</v>
      </c>
      <c r="C1" s="2" t="s">
        <v>1</v>
      </c>
      <c r="D1" s="3" t="s">
        <v>2</v>
      </c>
      <c r="E1" s="4" t="s">
        <v>3</v>
      </c>
    </row>
    <row r="2" spans="1:30" ht="28.8" x14ac:dyDescent="0.3">
      <c r="A2" s="5" t="s">
        <v>4</v>
      </c>
      <c r="B2" s="6" t="s">
        <v>5</v>
      </c>
      <c r="C2" s="6" t="s">
        <v>6</v>
      </c>
      <c r="D2" s="7" t="s">
        <v>7</v>
      </c>
      <c r="E2" s="13"/>
    </row>
    <row r="3" spans="1:30" ht="43.2" x14ac:dyDescent="0.3">
      <c r="A3" s="5" t="s">
        <v>8</v>
      </c>
      <c r="B3" s="6" t="s">
        <v>9</v>
      </c>
      <c r="C3" s="6" t="s">
        <v>10</v>
      </c>
      <c r="D3" s="8">
        <v>1.0999999999999999E-2</v>
      </c>
      <c r="E3" s="14" t="s">
        <v>11</v>
      </c>
    </row>
    <row r="4" spans="1:30" x14ac:dyDescent="0.3">
      <c r="A4" s="5" t="s">
        <v>12</v>
      </c>
      <c r="B4" s="6" t="s">
        <v>9</v>
      </c>
      <c r="C4" s="6" t="s">
        <v>13</v>
      </c>
      <c r="D4" s="8">
        <v>1.7999999999999999E-2</v>
      </c>
      <c r="E4" s="19" t="s">
        <v>14</v>
      </c>
    </row>
    <row r="5" spans="1:30" x14ac:dyDescent="0.3">
      <c r="A5" s="5" t="s">
        <v>15</v>
      </c>
      <c r="B5" s="6" t="s">
        <v>9</v>
      </c>
      <c r="C5" s="6" t="s">
        <v>13</v>
      </c>
      <c r="D5" s="8">
        <v>1.7999999999999999E-2</v>
      </c>
      <c r="E5" s="20"/>
    </row>
    <row r="6" spans="1:30" x14ac:dyDescent="0.3">
      <c r="A6" s="5" t="s">
        <v>16</v>
      </c>
      <c r="B6" s="6" t="s">
        <v>9</v>
      </c>
      <c r="C6" s="6" t="s">
        <v>13</v>
      </c>
      <c r="D6" s="8">
        <v>1.7999999999999999E-2</v>
      </c>
      <c r="E6" s="20"/>
    </row>
    <row r="7" spans="1:30" x14ac:dyDescent="0.3">
      <c r="A7" s="9" t="s">
        <v>17</v>
      </c>
      <c r="B7" s="10" t="s">
        <v>9</v>
      </c>
      <c r="C7" s="10" t="s">
        <v>13</v>
      </c>
      <c r="D7" s="11">
        <v>1.7999999999999999E-2</v>
      </c>
      <c r="E7" s="21"/>
    </row>
    <row r="8" spans="1:30" ht="28.8" x14ac:dyDescent="0.3">
      <c r="A8" s="4" t="s">
        <v>18</v>
      </c>
      <c r="B8" s="12" t="s">
        <v>19</v>
      </c>
      <c r="C8" s="12" t="s">
        <v>20</v>
      </c>
      <c r="D8" s="15" t="s">
        <v>21</v>
      </c>
      <c r="E8" s="13"/>
    </row>
    <row r="11" spans="1:30" x14ac:dyDescent="0.3">
      <c r="B11" s="16" t="s">
        <v>52</v>
      </c>
      <c r="C11" s="16" t="s">
        <v>51</v>
      </c>
      <c r="D11" s="16" t="s">
        <v>50</v>
      </c>
      <c r="E11" s="16" t="s">
        <v>49</v>
      </c>
      <c r="F11" s="16" t="s">
        <v>48</v>
      </c>
      <c r="G11" s="16" t="s">
        <v>47</v>
      </c>
      <c r="H11" s="16" t="s">
        <v>46</v>
      </c>
      <c r="I11" s="16" t="s">
        <v>45</v>
      </c>
      <c r="J11" s="16" t="s">
        <v>44</v>
      </c>
      <c r="K11" s="16" t="s">
        <v>43</v>
      </c>
      <c r="L11" s="16" t="s">
        <v>42</v>
      </c>
      <c r="M11" s="16" t="s">
        <v>41</v>
      </c>
      <c r="N11" s="16" t="s">
        <v>40</v>
      </c>
      <c r="O11" s="16" t="s">
        <v>39</v>
      </c>
      <c r="P11" s="16" t="s">
        <v>38</v>
      </c>
      <c r="Q11" s="16" t="s">
        <v>37</v>
      </c>
      <c r="R11" s="16" t="s">
        <v>36</v>
      </c>
      <c r="S11" s="16" t="s">
        <v>35</v>
      </c>
      <c r="T11" s="16" t="s">
        <v>34</v>
      </c>
      <c r="U11" s="16" t="s">
        <v>33</v>
      </c>
      <c r="V11" s="16" t="s">
        <v>32</v>
      </c>
      <c r="W11" s="16" t="s">
        <v>31</v>
      </c>
      <c r="X11" s="16" t="s">
        <v>30</v>
      </c>
      <c r="Y11" s="16" t="s">
        <v>29</v>
      </c>
      <c r="Z11" s="16" t="s">
        <v>28</v>
      </c>
      <c r="AA11" s="16" t="s">
        <v>27</v>
      </c>
      <c r="AB11" s="16" t="s">
        <v>26</v>
      </c>
      <c r="AC11" s="16" t="s">
        <v>415</v>
      </c>
      <c r="AD11" s="16" t="s">
        <v>416</v>
      </c>
    </row>
    <row r="12" spans="1:30" x14ac:dyDescent="0.3">
      <c r="A12" t="s">
        <v>4</v>
      </c>
      <c r="B12" s="17">
        <v>1219</v>
      </c>
      <c r="C12" s="17">
        <v>1219</v>
      </c>
      <c r="D12" s="17">
        <v>1219</v>
      </c>
      <c r="E12" s="17">
        <v>1219</v>
      </c>
      <c r="F12" s="17">
        <v>1219</v>
      </c>
      <c r="G12" s="17">
        <v>1219</v>
      </c>
      <c r="H12" s="17">
        <v>1219</v>
      </c>
      <c r="I12" s="17">
        <v>1219</v>
      </c>
      <c r="J12" s="17">
        <v>1219</v>
      </c>
      <c r="K12" s="17">
        <v>1219</v>
      </c>
      <c r="L12" s="17">
        <v>1219</v>
      </c>
      <c r="M12" s="17">
        <v>1219</v>
      </c>
      <c r="N12" s="17">
        <v>1231</v>
      </c>
      <c r="O12" s="17">
        <v>1231</v>
      </c>
      <c r="P12" s="17">
        <v>1231</v>
      </c>
      <c r="Q12" s="17">
        <v>1231</v>
      </c>
      <c r="R12" s="17">
        <v>1231</v>
      </c>
      <c r="S12" s="17">
        <v>1231</v>
      </c>
      <c r="T12" s="17">
        <v>1231</v>
      </c>
      <c r="U12" s="17">
        <v>1231</v>
      </c>
      <c r="V12" s="17">
        <v>1231</v>
      </c>
      <c r="W12" s="17">
        <v>1231</v>
      </c>
      <c r="X12" s="17">
        <v>1231</v>
      </c>
      <c r="Y12" s="17">
        <v>1231</v>
      </c>
      <c r="Z12" s="17">
        <v>1269</v>
      </c>
      <c r="AA12" s="17">
        <v>1269</v>
      </c>
      <c r="AB12" s="17">
        <v>1269</v>
      </c>
      <c r="AC12" s="17">
        <v>1269</v>
      </c>
      <c r="AD12" s="17">
        <v>1302</v>
      </c>
    </row>
    <row r="13" spans="1:30" x14ac:dyDescent="0.3">
      <c r="A13" t="s">
        <v>417</v>
      </c>
      <c r="B13">
        <v>1</v>
      </c>
      <c r="C13" s="18">
        <f>B13+B13*(C12/B12-Feuil2!NB2/Feuil2!NA2)</f>
        <v>1.0002860411899315</v>
      </c>
      <c r="D13" s="18">
        <f>C13+C13*(D12/C12-Feuil2!NC2/Feuil2!NB2)</f>
        <v>1.0044837127027932</v>
      </c>
      <c r="E13" s="18">
        <f>D13+D13*(E12/D12-Feuil2!ND2/Feuil2!NC2)</f>
        <v>1.0046761241026021</v>
      </c>
      <c r="F13" s="18">
        <f>E13+E13*(F12/E12-Feuil2!NE2/Feuil2!ND2)</f>
        <v>1.0038099410278896</v>
      </c>
      <c r="G13" s="18">
        <f>F13+F13*(G12/F12-Feuil2!NF2/Feuil2!NE2)</f>
        <v>1.0028491734733069</v>
      </c>
      <c r="H13" s="18">
        <f>G13+G13*(H12/G12-Feuil2!NG2/Feuil2!NF2)</f>
        <v>0.99699969942646505</v>
      </c>
      <c r="I13" s="18">
        <f>H13+H13*(I12/H12-Feuil2!NH2/Feuil2!NG2)</f>
        <v>1.0013596182565456</v>
      </c>
      <c r="J13" s="18">
        <f>I13+I13*(J12/I12-Feuil2!NI2/Feuil2!NH2)</f>
        <v>1.0022201392690835</v>
      </c>
      <c r="K13" s="18">
        <f>J13+J13*(K12/J12-Feuil2!NJ2/Feuil2!NI2)</f>
        <v>1.0026032509431162</v>
      </c>
      <c r="L13" s="18">
        <f>K13+K13*(L12/K12-Feuil2!NK2/Feuil2!NJ2)</f>
        <v>1.0008779298611874</v>
      </c>
      <c r="M13" s="18">
        <f>L13+L13*(M12/L12-Feuil2!NL2/Feuil2!NK2)</f>
        <v>0.99963614582910154</v>
      </c>
      <c r="N13" s="18">
        <f>M13+M13*(N12/M12-Feuil2!NM2/Feuil2!NL2)</f>
        <v>1.0043313023037335</v>
      </c>
      <c r="O13" s="18">
        <f>N13+N13*(O12/N12-Feuil2!NN2/Feuil2!NM2)</f>
        <v>1.0044265447221596</v>
      </c>
      <c r="P13" s="18">
        <f>O13+O13*(P12/O12-Feuil2!NO2/Feuil2!NN2)</f>
        <v>1.0030928979442659</v>
      </c>
      <c r="Q13" s="18">
        <f>P13+P13*(Q12/P12-Feuil2!NP2/Feuil2!NO2)</f>
        <v>1.0014777644658559</v>
      </c>
      <c r="R13" s="18">
        <f>Q13+Q13*(R12/Q12-Feuil2!NQ2/Feuil2!NP2)</f>
        <v>0.99929960951713581</v>
      </c>
      <c r="S13" s="18">
        <f>R13+R13*(S12/R12-Feuil2!NR2/Feuil2!NQ2)</f>
        <v>0.9974137827394095</v>
      </c>
      <c r="T13" s="18">
        <f>S13+S13*(T12/S12-Feuil2!NS2/Feuil2!NR2)</f>
        <v>0.99421995446542777</v>
      </c>
      <c r="U13" s="18">
        <f>T13+T13*(U12/T12-Feuil2!NT2/Feuil2!NS2)</f>
        <v>0.99104651488114071</v>
      </c>
      <c r="V13" s="18">
        <f>U13+U13*(V12/U12-Feuil2!NU2/Feuil2!NT2)</f>
        <v>0.99113925739610242</v>
      </c>
      <c r="W13" s="18">
        <f>V13+V13*(W12/V12-Feuil2!NV2/Feuil2!NU2)</f>
        <v>0.98668678342745364</v>
      </c>
      <c r="X13" s="18">
        <f>W13+W13*(X12/W12-Feuil2!NW2/Feuil2!NV2)</f>
        <v>0.98420466816121499</v>
      </c>
      <c r="Y13" s="18">
        <f>X13+X13*(Y12/X12-Feuil2!NX2/Feuil2!NW2)</f>
        <v>0.98237529145459568</v>
      </c>
      <c r="Z13" s="18">
        <f>Y13+Y13*(Z12/Y12-Feuil2!NY2/Feuil2!NX2)</f>
        <v>1.0064125117116383</v>
      </c>
      <c r="AA13" s="18">
        <f>Z13+Z13*(AA12/Z12-Feuil2!NZ2/Feuil2!NY2)</f>
        <v>0.99899127464491022</v>
      </c>
      <c r="AB13" s="18">
        <f>AA13+AA13*(AB12/AA12-Feuil2!OA2/Feuil2!NZ2)</f>
        <v>0.98930209218426801</v>
      </c>
      <c r="AC13" s="18"/>
      <c r="AD13" s="18"/>
    </row>
    <row r="14" spans="1:30" x14ac:dyDescent="0.3">
      <c r="A14" t="s">
        <v>419</v>
      </c>
      <c r="B14">
        <v>1</v>
      </c>
    </row>
  </sheetData>
  <mergeCells count="1">
    <mergeCell ref="E4:E7"/>
  </mergeCells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ABE90-3DC3-45B3-B5DD-DF16D9AFFC86}">
  <dimension ref="A1:Q53"/>
  <sheetViews>
    <sheetView tabSelected="1" topLeftCell="A37" workbookViewId="0">
      <selection activeCell="F64" sqref="F64"/>
    </sheetView>
  </sheetViews>
  <sheetFormatPr baseColWidth="10" defaultRowHeight="14.4" x14ac:dyDescent="0.3"/>
  <cols>
    <col min="1" max="1" width="22.5546875" bestFit="1" customWidth="1"/>
    <col min="2" max="2" width="22.5546875" customWidth="1"/>
  </cols>
  <sheetData>
    <row r="1" spans="1:17" x14ac:dyDescent="0.3">
      <c r="A1" t="s">
        <v>488</v>
      </c>
      <c r="C1" t="s">
        <v>420</v>
      </c>
      <c r="D1" t="s">
        <v>421</v>
      </c>
      <c r="E1" t="s">
        <v>422</v>
      </c>
      <c r="F1" t="s">
        <v>423</v>
      </c>
      <c r="G1" t="s">
        <v>424</v>
      </c>
      <c r="H1" t="s">
        <v>425</v>
      </c>
      <c r="I1" t="s">
        <v>433</v>
      </c>
      <c r="J1" t="s">
        <v>426</v>
      </c>
      <c r="K1" t="s">
        <v>427</v>
      </c>
      <c r="L1" t="s">
        <v>428</v>
      </c>
      <c r="M1" t="s">
        <v>429</v>
      </c>
      <c r="N1" t="s">
        <v>430</v>
      </c>
      <c r="O1" t="s">
        <v>431</v>
      </c>
      <c r="P1" t="s">
        <v>432</v>
      </c>
      <c r="Q1" t="s">
        <v>434</v>
      </c>
    </row>
    <row r="2" spans="1:17" x14ac:dyDescent="0.3">
      <c r="A2" s="33">
        <v>43101</v>
      </c>
      <c r="B2" s="39">
        <v>100</v>
      </c>
      <c r="C2" s="22">
        <v>0</v>
      </c>
      <c r="D2" s="22">
        <v>0</v>
      </c>
      <c r="E2" s="22">
        <v>0</v>
      </c>
      <c r="F2" s="22">
        <v>0</v>
      </c>
      <c r="G2" s="22">
        <v>0</v>
      </c>
      <c r="H2" s="22">
        <v>0</v>
      </c>
      <c r="I2" s="22">
        <v>0</v>
      </c>
      <c r="J2" s="22">
        <v>0</v>
      </c>
      <c r="K2" s="22">
        <v>0</v>
      </c>
      <c r="L2" s="23">
        <f>AVERAGE(Feuil2!LO$16:LZ$16)</f>
        <v>9.1151711497145516E-3</v>
      </c>
      <c r="M2" s="22">
        <v>0</v>
      </c>
      <c r="N2" s="22">
        <v>0</v>
      </c>
      <c r="O2" s="22">
        <v>0</v>
      </c>
      <c r="P2" s="22">
        <v>0</v>
      </c>
      <c r="Q2" s="23">
        <f>Feuil2!U358/100</f>
        <v>0</v>
      </c>
    </row>
    <row r="3" spans="1:17" x14ac:dyDescent="0.3">
      <c r="A3" s="33">
        <v>43132</v>
      </c>
      <c r="B3" s="39">
        <f>B2+B2*C3</f>
        <v>100</v>
      </c>
      <c r="C3" s="22">
        <v>0</v>
      </c>
      <c r="D3" s="22">
        <v>0</v>
      </c>
      <c r="E3" s="22">
        <v>0</v>
      </c>
      <c r="F3" s="22">
        <v>0</v>
      </c>
      <c r="G3" s="22">
        <v>0</v>
      </c>
      <c r="H3" s="22">
        <v>0</v>
      </c>
      <c r="I3" s="22">
        <v>0</v>
      </c>
      <c r="J3" s="22">
        <v>0</v>
      </c>
      <c r="K3" s="22">
        <v>0</v>
      </c>
      <c r="L3" s="22">
        <v>0</v>
      </c>
      <c r="M3" s="22">
        <v>0</v>
      </c>
      <c r="N3" s="22">
        <v>0</v>
      </c>
      <c r="O3" s="22">
        <v>0</v>
      </c>
      <c r="P3" s="22">
        <v>0</v>
      </c>
      <c r="Q3" s="22">
        <v>0</v>
      </c>
    </row>
    <row r="4" spans="1:17" x14ac:dyDescent="0.3">
      <c r="A4" s="33">
        <v>43160</v>
      </c>
      <c r="B4" s="39">
        <f t="shared" ref="B4:B53" si="0">B3+B3*C4</f>
        <v>100</v>
      </c>
      <c r="C4" s="22">
        <v>0</v>
      </c>
      <c r="D4" s="22">
        <v>0</v>
      </c>
      <c r="E4" s="22">
        <v>0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2">
        <v>0</v>
      </c>
    </row>
    <row r="5" spans="1:17" x14ac:dyDescent="0.3">
      <c r="A5" s="33">
        <v>43191</v>
      </c>
      <c r="B5" s="39">
        <f t="shared" si="0"/>
        <v>100.98904069471673</v>
      </c>
      <c r="C5" s="23">
        <f>AVERAGE(Feuil2!LR$16:MC$16)</f>
        <v>9.8904069471673437E-3</v>
      </c>
      <c r="D5" s="23">
        <f>AVERAGE(Feuil2!LR$16:MC$16)</f>
        <v>9.8904069471673437E-3</v>
      </c>
      <c r="E5" s="23">
        <f>AVERAGE(Feuil2!LR$16:MC$16)</f>
        <v>9.8904069471673437E-3</v>
      </c>
      <c r="F5" s="23">
        <f>AVERAGE(Feuil2!LR$16:MC$16)</f>
        <v>9.8904069471673437E-3</v>
      </c>
      <c r="G5" s="23">
        <f>AVERAGE(Feuil2!LR$16:MC$16)</f>
        <v>9.8904069471673437E-3</v>
      </c>
      <c r="H5" s="23">
        <f>AVERAGE(Feuil2!LR$16:MC$16)</f>
        <v>9.8904069471673437E-3</v>
      </c>
      <c r="I5" s="23">
        <f>AVERAGE(Feuil2!LR$16:MC$16)</f>
        <v>9.8904069471673437E-3</v>
      </c>
      <c r="J5" s="23">
        <f>AVERAGE(Feuil2!LR$16:MC$16)</f>
        <v>9.8904069471673437E-3</v>
      </c>
      <c r="K5" s="23">
        <f>AVERAGE(Feuil2!LR$16:MC$16)</f>
        <v>9.8904069471673437E-3</v>
      </c>
      <c r="L5" s="22">
        <v>0</v>
      </c>
      <c r="M5" s="23">
        <f>AVERAGE(Feuil2!LR$16:MC$16)</f>
        <v>9.8904069471673437E-3</v>
      </c>
      <c r="N5" s="23">
        <f>AVERAGE(Feuil2!LR$16:MC$16)</f>
        <v>9.8904069471673437E-3</v>
      </c>
      <c r="O5" s="23">
        <f>AVERAGE(Feuil2!LR$16:MC$16)</f>
        <v>9.8904069471673437E-3</v>
      </c>
      <c r="P5" s="23">
        <f>AVERAGE(Feuil2!LR$16:MC$16)</f>
        <v>9.8904069471673437E-3</v>
      </c>
      <c r="Q5" s="22">
        <v>0</v>
      </c>
    </row>
    <row r="6" spans="1:17" x14ac:dyDescent="0.3">
      <c r="A6" s="33">
        <v>43221</v>
      </c>
      <c r="B6" s="39">
        <f t="shared" si="0"/>
        <v>100.98904069471673</v>
      </c>
      <c r="C6" s="22">
        <v>0</v>
      </c>
      <c r="D6" s="22">
        <v>0</v>
      </c>
      <c r="E6" s="22">
        <v>0</v>
      </c>
      <c r="F6" s="22">
        <v>0</v>
      </c>
      <c r="G6" s="22">
        <v>0</v>
      </c>
      <c r="H6" s="22">
        <v>0</v>
      </c>
      <c r="I6" s="22">
        <v>0</v>
      </c>
      <c r="J6" s="22">
        <v>0</v>
      </c>
      <c r="K6" s="22">
        <v>0</v>
      </c>
      <c r="L6" s="22">
        <v>0</v>
      </c>
      <c r="M6" s="22">
        <v>0</v>
      </c>
      <c r="N6" s="22">
        <v>0</v>
      </c>
      <c r="O6" s="22">
        <v>0</v>
      </c>
      <c r="P6" s="22">
        <v>0</v>
      </c>
      <c r="Q6" s="22">
        <v>0</v>
      </c>
    </row>
    <row r="7" spans="1:17" x14ac:dyDescent="0.3">
      <c r="A7" s="33">
        <v>43252</v>
      </c>
      <c r="B7" s="39">
        <f t="shared" si="0"/>
        <v>100.98904069471673</v>
      </c>
      <c r="C7" s="22">
        <v>0</v>
      </c>
      <c r="D7" s="22">
        <v>0</v>
      </c>
      <c r="E7" s="22">
        <v>0</v>
      </c>
      <c r="F7" s="22">
        <v>0</v>
      </c>
      <c r="G7" s="22">
        <v>0</v>
      </c>
      <c r="H7" s="22">
        <v>0</v>
      </c>
      <c r="I7" s="22">
        <v>0</v>
      </c>
      <c r="J7" s="22">
        <v>0</v>
      </c>
      <c r="K7" s="22">
        <v>0</v>
      </c>
      <c r="L7" s="22">
        <v>0</v>
      </c>
      <c r="M7" s="22">
        <v>0</v>
      </c>
      <c r="N7" s="22">
        <v>0</v>
      </c>
      <c r="O7" s="22">
        <v>0</v>
      </c>
      <c r="P7" s="22">
        <v>0</v>
      </c>
      <c r="Q7" s="22">
        <v>0</v>
      </c>
    </row>
    <row r="8" spans="1:17" x14ac:dyDescent="0.3">
      <c r="A8" s="33">
        <v>43282</v>
      </c>
      <c r="B8" s="39">
        <f t="shared" si="0"/>
        <v>100.98904069471673</v>
      </c>
      <c r="C8" s="22">
        <v>0</v>
      </c>
      <c r="D8" s="22">
        <v>0</v>
      </c>
      <c r="E8" s="22">
        <v>0</v>
      </c>
      <c r="F8" s="22">
        <v>0</v>
      </c>
      <c r="G8" s="22">
        <v>0</v>
      </c>
      <c r="H8" s="22">
        <v>0</v>
      </c>
      <c r="I8" s="22">
        <v>0</v>
      </c>
      <c r="J8" s="22">
        <v>0</v>
      </c>
      <c r="K8" s="22">
        <v>0</v>
      </c>
      <c r="L8" s="22">
        <v>0</v>
      </c>
      <c r="M8" s="22">
        <v>0</v>
      </c>
      <c r="N8" s="22">
        <v>0</v>
      </c>
      <c r="O8" s="22">
        <v>0</v>
      </c>
      <c r="P8" s="22">
        <v>0</v>
      </c>
      <c r="Q8" s="22">
        <v>0</v>
      </c>
    </row>
    <row r="9" spans="1:17" x14ac:dyDescent="0.3">
      <c r="A9" s="33">
        <v>43313</v>
      </c>
      <c r="B9" s="39">
        <f t="shared" si="0"/>
        <v>100.98904069471673</v>
      </c>
      <c r="C9" s="22">
        <v>0</v>
      </c>
      <c r="D9" s="22">
        <v>0</v>
      </c>
      <c r="E9" s="22">
        <v>0</v>
      </c>
      <c r="F9" s="22">
        <v>0</v>
      </c>
      <c r="G9" s="22">
        <v>0</v>
      </c>
      <c r="H9" s="22">
        <v>0</v>
      </c>
      <c r="I9" s="22">
        <v>0</v>
      </c>
      <c r="J9" s="22">
        <v>0</v>
      </c>
      <c r="K9" s="22">
        <v>0</v>
      </c>
      <c r="L9" s="22">
        <v>0</v>
      </c>
      <c r="M9" s="22">
        <v>0</v>
      </c>
      <c r="N9" s="22">
        <v>0</v>
      </c>
      <c r="O9" s="22">
        <v>0</v>
      </c>
      <c r="P9" s="22">
        <v>0</v>
      </c>
      <c r="Q9" s="22">
        <v>0</v>
      </c>
    </row>
    <row r="10" spans="1:17" x14ac:dyDescent="0.3">
      <c r="A10" s="33">
        <v>43344</v>
      </c>
      <c r="B10" s="39">
        <f t="shared" si="0"/>
        <v>100.98904069471673</v>
      </c>
      <c r="C10" s="22">
        <v>0</v>
      </c>
      <c r="D10" s="22">
        <v>0</v>
      </c>
      <c r="E10" s="22">
        <v>0</v>
      </c>
      <c r="F10" s="22">
        <v>0</v>
      </c>
      <c r="G10" s="22">
        <v>0</v>
      </c>
      <c r="H10" s="22">
        <v>0</v>
      </c>
      <c r="I10" s="22">
        <v>0</v>
      </c>
      <c r="J10" s="22">
        <v>0</v>
      </c>
      <c r="K10" s="22">
        <v>0</v>
      </c>
      <c r="L10" s="22">
        <v>0</v>
      </c>
      <c r="M10" s="22">
        <v>0</v>
      </c>
      <c r="N10" s="22">
        <v>0</v>
      </c>
      <c r="O10" s="22">
        <v>0</v>
      </c>
      <c r="P10" s="22">
        <v>0</v>
      </c>
      <c r="Q10" s="22">
        <v>0</v>
      </c>
    </row>
    <row r="11" spans="1:17" x14ac:dyDescent="0.3">
      <c r="A11" s="33">
        <v>43374</v>
      </c>
      <c r="B11" s="39">
        <f t="shared" si="0"/>
        <v>100.98904069471673</v>
      </c>
      <c r="C11" s="22">
        <v>0</v>
      </c>
      <c r="D11" s="22">
        <v>0</v>
      </c>
      <c r="E11" s="22">
        <v>0</v>
      </c>
      <c r="F11" s="22">
        <v>0</v>
      </c>
      <c r="G11" s="22">
        <v>0</v>
      </c>
      <c r="H11" s="22">
        <v>0</v>
      </c>
      <c r="I11" s="22">
        <v>0</v>
      </c>
      <c r="J11" s="22">
        <v>0</v>
      </c>
      <c r="K11" s="22">
        <v>0</v>
      </c>
      <c r="L11" s="22">
        <v>0</v>
      </c>
      <c r="M11" s="22">
        <v>0</v>
      </c>
      <c r="N11" s="22">
        <v>0</v>
      </c>
      <c r="O11" s="22">
        <v>0</v>
      </c>
      <c r="P11" s="22">
        <v>0</v>
      </c>
      <c r="Q11" s="22">
        <v>0</v>
      </c>
    </row>
    <row r="12" spans="1:17" x14ac:dyDescent="0.3">
      <c r="A12" s="33">
        <v>43405</v>
      </c>
      <c r="B12" s="39">
        <f t="shared" si="0"/>
        <v>100.98904069471673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0</v>
      </c>
      <c r="I12" s="22">
        <v>0</v>
      </c>
      <c r="J12" s="22">
        <v>0</v>
      </c>
      <c r="K12" s="22">
        <v>0</v>
      </c>
      <c r="L12" s="22">
        <v>0</v>
      </c>
      <c r="M12" s="22">
        <v>0</v>
      </c>
      <c r="N12" s="22">
        <v>0</v>
      </c>
      <c r="O12" s="22">
        <v>0</v>
      </c>
      <c r="P12" s="22">
        <v>0</v>
      </c>
      <c r="Q12" s="22">
        <v>0</v>
      </c>
    </row>
    <row r="13" spans="1:17" x14ac:dyDescent="0.3">
      <c r="A13" s="33">
        <v>43435</v>
      </c>
      <c r="B13" s="39">
        <f t="shared" si="0"/>
        <v>100.98904069471673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22">
        <v>0</v>
      </c>
      <c r="I13" s="22">
        <v>0</v>
      </c>
      <c r="J13" s="22">
        <v>0</v>
      </c>
      <c r="K13" s="22">
        <v>0</v>
      </c>
      <c r="L13" s="22">
        <v>0</v>
      </c>
      <c r="M13" s="22">
        <v>0</v>
      </c>
      <c r="N13" s="22">
        <v>0</v>
      </c>
      <c r="O13" s="22">
        <v>0</v>
      </c>
      <c r="P13" s="22">
        <v>0</v>
      </c>
      <c r="Q13" s="22">
        <v>0</v>
      </c>
    </row>
    <row r="14" spans="1:17" x14ac:dyDescent="0.3">
      <c r="A14" s="33">
        <v>43466</v>
      </c>
      <c r="B14" s="39">
        <f t="shared" si="0"/>
        <v>100.98904069471673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3">
        <f>AVERAGE(Feuil2!MA$16:ML$16)</f>
        <v>1.5442958425265737E-2</v>
      </c>
      <c r="M14" s="22">
        <v>0</v>
      </c>
      <c r="N14" s="22">
        <v>0</v>
      </c>
      <c r="O14" s="22">
        <v>0</v>
      </c>
      <c r="P14" s="22">
        <v>0</v>
      </c>
      <c r="Q14" s="23">
        <f>Feuil2!U370/100</f>
        <v>0</v>
      </c>
    </row>
    <row r="15" spans="1:17" x14ac:dyDescent="0.3">
      <c r="A15" s="33">
        <v>43497</v>
      </c>
      <c r="B15" s="39">
        <f t="shared" si="0"/>
        <v>100.98904069471673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0</v>
      </c>
      <c r="I15" s="22">
        <v>0</v>
      </c>
      <c r="J15" s="22">
        <v>0</v>
      </c>
      <c r="K15" s="22">
        <v>0</v>
      </c>
      <c r="L15" s="22">
        <v>0</v>
      </c>
      <c r="M15" s="22">
        <v>0</v>
      </c>
      <c r="N15" s="22">
        <v>0</v>
      </c>
      <c r="O15" s="22">
        <v>0</v>
      </c>
      <c r="P15" s="22">
        <v>0</v>
      </c>
      <c r="Q15" s="22">
        <v>0</v>
      </c>
    </row>
    <row r="16" spans="1:17" x14ac:dyDescent="0.3">
      <c r="A16" s="33">
        <v>43525</v>
      </c>
      <c r="B16" s="39">
        <f t="shared" si="0"/>
        <v>100.98904069471673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0</v>
      </c>
      <c r="I16" s="22">
        <v>0</v>
      </c>
      <c r="J16" s="22">
        <v>0</v>
      </c>
      <c r="K16" s="22">
        <v>0</v>
      </c>
      <c r="L16" s="22">
        <v>0</v>
      </c>
      <c r="M16" s="22">
        <v>0</v>
      </c>
      <c r="N16" s="22">
        <v>0</v>
      </c>
      <c r="O16" s="22">
        <v>0</v>
      </c>
      <c r="P16" s="22">
        <v>0</v>
      </c>
      <c r="Q16" s="22">
        <v>0</v>
      </c>
    </row>
    <row r="17" spans="1:17" x14ac:dyDescent="0.3">
      <c r="A17" s="33">
        <v>43556</v>
      </c>
      <c r="B17" s="39">
        <f t="shared" si="0"/>
        <v>102.59502364362213</v>
      </c>
      <c r="C17" s="23">
        <f>AVERAGE(Feuil2!MD$16:MO$16)</f>
        <v>1.5902546829414648E-2</v>
      </c>
      <c r="D17" s="23">
        <f>AVERAGE(Feuil2!MD$16:MO$16)</f>
        <v>1.5902546829414648E-2</v>
      </c>
      <c r="E17" s="23">
        <f>AVERAGE(Feuil2!MD$16:MO$16)</f>
        <v>1.5902546829414648E-2</v>
      </c>
      <c r="F17" s="23">
        <f>AVERAGE(Feuil2!MD$16:MO$16)</f>
        <v>1.5902546829414648E-2</v>
      </c>
      <c r="G17" s="23">
        <f>AVERAGE(Feuil2!MD$16:MO$16)</f>
        <v>1.5902546829414648E-2</v>
      </c>
      <c r="H17" s="23">
        <f>AVERAGE(Feuil2!MD$16:MO$16)</f>
        <v>1.5902546829414648E-2</v>
      </c>
      <c r="I17" s="23">
        <f>AVERAGE(Feuil2!MD$16:MO$16)</f>
        <v>1.5902546829414648E-2</v>
      </c>
      <c r="J17" s="23">
        <f>AVERAGE(Feuil2!MD$16:MO$16)</f>
        <v>1.5902546829414648E-2</v>
      </c>
      <c r="K17" s="23">
        <f>AVERAGE(Feuil2!MD$16:MO$16)</f>
        <v>1.5902546829414648E-2</v>
      </c>
      <c r="L17" s="22">
        <v>0</v>
      </c>
      <c r="M17" s="23">
        <f>AVERAGE(Feuil2!MD$16:MO$16)</f>
        <v>1.5902546829414648E-2</v>
      </c>
      <c r="N17" s="23">
        <f>AVERAGE(Feuil2!MD$16:MO$16)</f>
        <v>1.5902546829414648E-2</v>
      </c>
      <c r="O17" s="23">
        <f>AVERAGE(Feuil2!MD$16:MO$16)</f>
        <v>1.5902546829414648E-2</v>
      </c>
      <c r="P17" s="23">
        <f>AVERAGE(Feuil2!MD$16:MO$16)</f>
        <v>1.5902546829414648E-2</v>
      </c>
      <c r="Q17" s="22">
        <v>0</v>
      </c>
    </row>
    <row r="18" spans="1:17" x14ac:dyDescent="0.3">
      <c r="A18" s="33">
        <v>43586</v>
      </c>
      <c r="B18" s="39">
        <f t="shared" si="0"/>
        <v>102.59502364362213</v>
      </c>
      <c r="C18" s="22">
        <v>0</v>
      </c>
      <c r="D18" s="22">
        <v>0</v>
      </c>
      <c r="E18" s="22">
        <v>0</v>
      </c>
      <c r="F18" s="22">
        <v>0</v>
      </c>
      <c r="G18" s="22">
        <v>0</v>
      </c>
      <c r="H18" s="22">
        <v>0</v>
      </c>
      <c r="I18" s="22">
        <v>0</v>
      </c>
      <c r="J18" s="22">
        <v>0</v>
      </c>
      <c r="K18" s="22">
        <v>0</v>
      </c>
      <c r="L18" s="22">
        <v>0</v>
      </c>
      <c r="M18" s="22">
        <v>0</v>
      </c>
      <c r="N18" s="22">
        <v>0</v>
      </c>
      <c r="O18" s="22">
        <v>0</v>
      </c>
      <c r="P18" s="22">
        <v>0</v>
      </c>
      <c r="Q18" s="22">
        <v>0</v>
      </c>
    </row>
    <row r="19" spans="1:17" x14ac:dyDescent="0.3">
      <c r="A19" s="33">
        <v>43617</v>
      </c>
      <c r="B19" s="39">
        <f t="shared" si="0"/>
        <v>102.59502364362213</v>
      </c>
      <c r="C19" s="22">
        <v>0</v>
      </c>
      <c r="D19" s="22">
        <v>0</v>
      </c>
      <c r="E19" s="22">
        <v>0</v>
      </c>
      <c r="F19" s="22">
        <v>0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</row>
    <row r="20" spans="1:17" x14ac:dyDescent="0.3">
      <c r="A20" s="33">
        <v>43647</v>
      </c>
      <c r="B20" s="39">
        <f t="shared" si="0"/>
        <v>102.59502364362213</v>
      </c>
      <c r="C20" s="22">
        <v>0</v>
      </c>
      <c r="D20" s="22">
        <v>0</v>
      </c>
      <c r="E20" s="22">
        <v>0</v>
      </c>
      <c r="F20" s="22">
        <v>0</v>
      </c>
      <c r="G20" s="22">
        <v>0</v>
      </c>
      <c r="H20" s="22">
        <v>0</v>
      </c>
      <c r="I20" s="22">
        <v>0</v>
      </c>
      <c r="J20" s="22">
        <v>0</v>
      </c>
      <c r="K20" s="22">
        <v>0</v>
      </c>
      <c r="L20" s="22">
        <v>0</v>
      </c>
      <c r="M20" s="22">
        <v>0</v>
      </c>
      <c r="N20" s="22">
        <v>0</v>
      </c>
      <c r="O20" s="22">
        <v>0</v>
      </c>
      <c r="P20" s="22">
        <v>0</v>
      </c>
      <c r="Q20" s="22">
        <v>0</v>
      </c>
    </row>
    <row r="21" spans="1:17" x14ac:dyDescent="0.3">
      <c r="A21" s="33">
        <v>43678</v>
      </c>
      <c r="B21" s="39">
        <f t="shared" si="0"/>
        <v>102.59502364362213</v>
      </c>
      <c r="C21" s="22">
        <v>0</v>
      </c>
      <c r="D21" s="22">
        <v>0</v>
      </c>
      <c r="E21" s="22">
        <v>0</v>
      </c>
      <c r="F21" s="22">
        <v>0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</row>
    <row r="22" spans="1:17" x14ac:dyDescent="0.3">
      <c r="A22" s="33">
        <v>43709</v>
      </c>
      <c r="B22" s="39">
        <f t="shared" si="0"/>
        <v>102.59502364362213</v>
      </c>
      <c r="C22" s="22">
        <v>0</v>
      </c>
      <c r="D22" s="22">
        <v>0</v>
      </c>
      <c r="E22" s="22">
        <v>0</v>
      </c>
      <c r="F22" s="22">
        <v>0</v>
      </c>
      <c r="G22" s="22">
        <v>0</v>
      </c>
      <c r="H22" s="22">
        <v>0</v>
      </c>
      <c r="I22" s="22">
        <v>0</v>
      </c>
      <c r="J22" s="22">
        <v>0</v>
      </c>
      <c r="K22" s="22">
        <v>0</v>
      </c>
      <c r="L22" s="22">
        <v>0</v>
      </c>
      <c r="M22" s="22">
        <v>0</v>
      </c>
      <c r="N22" s="22">
        <v>0</v>
      </c>
      <c r="O22" s="22">
        <v>0</v>
      </c>
      <c r="P22" s="22">
        <v>0</v>
      </c>
      <c r="Q22" s="22">
        <v>0</v>
      </c>
    </row>
    <row r="23" spans="1:17" x14ac:dyDescent="0.3">
      <c r="A23" s="33">
        <v>43739</v>
      </c>
      <c r="B23" s="39">
        <f t="shared" si="0"/>
        <v>102.59502364362213</v>
      </c>
      <c r="C23" s="22">
        <v>0</v>
      </c>
      <c r="D23" s="22">
        <v>0</v>
      </c>
      <c r="E23" s="22">
        <v>0</v>
      </c>
      <c r="F23" s="22">
        <v>0</v>
      </c>
      <c r="G23" s="22">
        <v>0</v>
      </c>
      <c r="H23" s="22">
        <v>0</v>
      </c>
      <c r="I23" s="22">
        <v>0</v>
      </c>
      <c r="J23" s="22">
        <v>0</v>
      </c>
      <c r="K23" s="22">
        <v>0</v>
      </c>
      <c r="L23" s="22">
        <v>0</v>
      </c>
      <c r="M23" s="22">
        <v>0</v>
      </c>
      <c r="N23" s="22">
        <v>0</v>
      </c>
      <c r="O23" s="22">
        <v>0</v>
      </c>
      <c r="P23" s="22">
        <v>0</v>
      </c>
      <c r="Q23" s="22">
        <v>0</v>
      </c>
    </row>
    <row r="24" spans="1:17" x14ac:dyDescent="0.3">
      <c r="A24" s="33">
        <v>43770</v>
      </c>
      <c r="B24" s="39">
        <f t="shared" si="0"/>
        <v>102.59502364362213</v>
      </c>
      <c r="C24" s="22">
        <v>0</v>
      </c>
      <c r="D24" s="22">
        <v>0</v>
      </c>
      <c r="E24" s="22">
        <v>0</v>
      </c>
      <c r="F24" s="22">
        <v>0</v>
      </c>
      <c r="G24" s="22">
        <v>0</v>
      </c>
      <c r="H24" s="22">
        <v>0</v>
      </c>
      <c r="I24" s="22">
        <v>0</v>
      </c>
      <c r="J24" s="22">
        <v>0</v>
      </c>
      <c r="K24" s="22">
        <v>0</v>
      </c>
      <c r="L24" s="22">
        <v>0</v>
      </c>
      <c r="M24" s="22">
        <v>0</v>
      </c>
      <c r="N24" s="22">
        <v>0</v>
      </c>
      <c r="O24" s="22">
        <v>0</v>
      </c>
      <c r="P24" s="22">
        <v>0</v>
      </c>
      <c r="Q24" s="22">
        <v>0</v>
      </c>
    </row>
    <row r="25" spans="1:17" x14ac:dyDescent="0.3">
      <c r="A25" s="33">
        <v>43800</v>
      </c>
      <c r="B25" s="39">
        <f t="shared" si="0"/>
        <v>102.59502364362213</v>
      </c>
      <c r="C25" s="22">
        <v>0</v>
      </c>
      <c r="D25" s="22">
        <v>0</v>
      </c>
      <c r="E25" s="22">
        <v>0</v>
      </c>
      <c r="F25" s="22">
        <v>0</v>
      </c>
      <c r="G25" s="22">
        <v>0</v>
      </c>
      <c r="H25" s="22">
        <v>0</v>
      </c>
      <c r="I25" s="22">
        <v>0</v>
      </c>
      <c r="J25" s="22">
        <v>0</v>
      </c>
      <c r="K25" s="22">
        <v>0</v>
      </c>
      <c r="L25" s="22">
        <v>0</v>
      </c>
      <c r="M25" s="22">
        <v>0</v>
      </c>
      <c r="N25" s="22">
        <v>0</v>
      </c>
      <c r="O25" s="22">
        <v>0</v>
      </c>
      <c r="P25" s="22">
        <v>0</v>
      </c>
      <c r="Q25" s="22">
        <v>0</v>
      </c>
    </row>
    <row r="26" spans="1:17" x14ac:dyDescent="0.3">
      <c r="A26" s="33">
        <v>43831</v>
      </c>
      <c r="B26" s="39">
        <f t="shared" si="0"/>
        <v>102.59502364362213</v>
      </c>
      <c r="C26" s="22">
        <v>0</v>
      </c>
      <c r="D26" s="22">
        <v>0</v>
      </c>
      <c r="E26" s="22">
        <v>0</v>
      </c>
      <c r="F26" s="22">
        <v>0</v>
      </c>
      <c r="G26" s="22">
        <v>0</v>
      </c>
      <c r="H26" s="22">
        <v>0</v>
      </c>
      <c r="I26" s="22">
        <v>0</v>
      </c>
      <c r="J26" s="22">
        <v>0</v>
      </c>
      <c r="K26" s="22">
        <v>0</v>
      </c>
      <c r="L26" s="23">
        <f>AVERAGE(Feuil2!MM$16:MX$16)</f>
        <v>1.0146515453677766E-2</v>
      </c>
      <c r="M26" s="22">
        <v>0</v>
      </c>
      <c r="N26" s="22">
        <v>0</v>
      </c>
      <c r="O26" s="22">
        <v>0</v>
      </c>
      <c r="P26" s="22">
        <v>0</v>
      </c>
      <c r="Q26" s="23">
        <f>Feuil2!U382/100</f>
        <v>0</v>
      </c>
    </row>
    <row r="27" spans="1:17" x14ac:dyDescent="0.3">
      <c r="A27" s="33">
        <v>43862</v>
      </c>
      <c r="B27" s="39">
        <f t="shared" si="0"/>
        <v>102.59502364362213</v>
      </c>
      <c r="C27" s="22">
        <v>0</v>
      </c>
      <c r="D27" s="22">
        <v>0</v>
      </c>
      <c r="E27" s="22">
        <v>0</v>
      </c>
      <c r="F27" s="22">
        <v>0</v>
      </c>
      <c r="G27" s="22">
        <v>0</v>
      </c>
      <c r="H27" s="22">
        <v>0</v>
      </c>
      <c r="I27" s="22">
        <v>0</v>
      </c>
      <c r="J27" s="22">
        <v>0</v>
      </c>
      <c r="K27" s="22">
        <v>0</v>
      </c>
      <c r="L27" s="22">
        <v>0</v>
      </c>
      <c r="M27" s="22">
        <v>0</v>
      </c>
      <c r="N27" s="22">
        <v>0</v>
      </c>
      <c r="O27" s="22">
        <v>0</v>
      </c>
      <c r="P27" s="22">
        <v>0</v>
      </c>
      <c r="Q27" s="22">
        <v>0</v>
      </c>
    </row>
    <row r="28" spans="1:17" x14ac:dyDescent="0.3">
      <c r="A28" s="33">
        <v>43891</v>
      </c>
      <c r="B28" s="39">
        <f t="shared" si="0"/>
        <v>102.59502364362213</v>
      </c>
      <c r="C28" s="22">
        <v>0</v>
      </c>
      <c r="D28" s="22">
        <v>0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v>0</v>
      </c>
      <c r="K28" s="22">
        <v>0</v>
      </c>
      <c r="L28" s="22">
        <v>0</v>
      </c>
      <c r="M28" s="22">
        <v>0</v>
      </c>
      <c r="N28" s="22">
        <v>0</v>
      </c>
      <c r="O28" s="22">
        <v>0</v>
      </c>
      <c r="P28" s="22">
        <v>0</v>
      </c>
      <c r="Q28" s="22">
        <v>0</v>
      </c>
    </row>
    <row r="29" spans="1:17" x14ac:dyDescent="0.3">
      <c r="A29" s="33">
        <v>43922</v>
      </c>
      <c r="B29" s="39">
        <f t="shared" si="0"/>
        <v>103.56593169232637</v>
      </c>
      <c r="C29" s="23">
        <f>AVERAGE(Feuil2!MP$16:NA$16)</f>
        <v>9.463500413790368E-3</v>
      </c>
      <c r="D29" s="23">
        <f>AVERAGE(Feuil2!MP$16:NA$16)</f>
        <v>9.463500413790368E-3</v>
      </c>
      <c r="E29" s="23">
        <f>AVERAGE(Feuil2!MP$16:NA$16)</f>
        <v>9.463500413790368E-3</v>
      </c>
      <c r="F29" s="23">
        <f>AVERAGE(Feuil2!MP$16:NA$16)</f>
        <v>9.463500413790368E-3</v>
      </c>
      <c r="G29" s="23">
        <f>AVERAGE(Feuil2!MP$16:NA$16)</f>
        <v>9.463500413790368E-3</v>
      </c>
      <c r="H29" s="23">
        <f>AVERAGE(Feuil2!MP$16:NA$16)</f>
        <v>9.463500413790368E-3</v>
      </c>
      <c r="I29" s="23">
        <f>AVERAGE(Feuil2!MP$16:NA$16)</f>
        <v>9.463500413790368E-3</v>
      </c>
      <c r="J29" s="23">
        <f>AVERAGE(Feuil2!MP$16:NA$16)</f>
        <v>9.463500413790368E-3</v>
      </c>
      <c r="K29" s="23">
        <f>AVERAGE(Feuil2!MP$16:NA$16)</f>
        <v>9.463500413790368E-3</v>
      </c>
      <c r="L29" s="22">
        <v>0</v>
      </c>
      <c r="M29" s="23">
        <f>AVERAGE(Feuil2!MP$16:NA$16)</f>
        <v>9.463500413790368E-3</v>
      </c>
      <c r="N29" s="23">
        <f>AVERAGE(Feuil2!MP$16:NA$16)</f>
        <v>9.463500413790368E-3</v>
      </c>
      <c r="O29" s="23">
        <f>AVERAGE(Feuil2!MP$16:NA$16)</f>
        <v>9.463500413790368E-3</v>
      </c>
      <c r="P29" s="23">
        <f>AVERAGE(Feuil2!MP$16:NA$16)</f>
        <v>9.463500413790368E-3</v>
      </c>
      <c r="Q29" s="22">
        <v>0</v>
      </c>
    </row>
    <row r="30" spans="1:17" x14ac:dyDescent="0.3">
      <c r="A30" s="33">
        <v>43952</v>
      </c>
      <c r="B30" s="39">
        <f t="shared" si="0"/>
        <v>103.56593169232637</v>
      </c>
      <c r="C30" s="22">
        <v>0</v>
      </c>
      <c r="D30" s="22">
        <v>0</v>
      </c>
      <c r="E30" s="22">
        <v>0</v>
      </c>
      <c r="F30" s="22">
        <v>0</v>
      </c>
      <c r="G30" s="22">
        <v>0</v>
      </c>
      <c r="H30" s="22">
        <v>0</v>
      </c>
      <c r="I30" s="22">
        <v>0</v>
      </c>
      <c r="J30" s="22">
        <v>0</v>
      </c>
      <c r="K30" s="22">
        <v>0</v>
      </c>
      <c r="L30" s="22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</row>
    <row r="31" spans="1:17" x14ac:dyDescent="0.3">
      <c r="A31" s="33">
        <v>43983</v>
      </c>
      <c r="B31" s="39">
        <f t="shared" si="0"/>
        <v>103.56593169232637</v>
      </c>
      <c r="C31" s="22">
        <v>0</v>
      </c>
      <c r="D31" s="22">
        <v>0</v>
      </c>
      <c r="E31" s="22">
        <v>0</v>
      </c>
      <c r="F31" s="22">
        <v>0</v>
      </c>
      <c r="G31" s="22">
        <v>0</v>
      </c>
      <c r="H31" s="22">
        <v>0</v>
      </c>
      <c r="I31" s="22">
        <v>0</v>
      </c>
      <c r="J31" s="22">
        <v>0</v>
      </c>
      <c r="K31" s="22">
        <v>0</v>
      </c>
      <c r="L31" s="22">
        <v>0</v>
      </c>
      <c r="M31" s="22">
        <v>0</v>
      </c>
      <c r="N31" s="22">
        <v>0</v>
      </c>
      <c r="O31" s="22">
        <v>0</v>
      </c>
      <c r="P31" s="22">
        <v>0</v>
      </c>
      <c r="Q31" s="22">
        <v>0</v>
      </c>
    </row>
    <row r="32" spans="1:17" x14ac:dyDescent="0.3">
      <c r="A32" s="33">
        <v>44013</v>
      </c>
      <c r="B32" s="39">
        <f t="shared" si="0"/>
        <v>103.56593169232637</v>
      </c>
      <c r="C32" s="22">
        <v>0</v>
      </c>
      <c r="D32" s="22">
        <v>0</v>
      </c>
      <c r="E32" s="22">
        <v>0</v>
      </c>
      <c r="F32" s="22">
        <v>0</v>
      </c>
      <c r="G32" s="22">
        <v>0</v>
      </c>
      <c r="H32" s="22">
        <v>0</v>
      </c>
      <c r="I32" s="22">
        <v>0</v>
      </c>
      <c r="J32" s="22">
        <v>0</v>
      </c>
      <c r="K32" s="22">
        <v>0</v>
      </c>
      <c r="L32" s="22">
        <v>0</v>
      </c>
      <c r="M32" s="22">
        <v>0</v>
      </c>
      <c r="N32" s="22">
        <v>0</v>
      </c>
      <c r="O32" s="22">
        <v>0</v>
      </c>
      <c r="P32" s="22">
        <v>0</v>
      </c>
      <c r="Q32" s="22">
        <v>0</v>
      </c>
    </row>
    <row r="33" spans="1:17" x14ac:dyDescent="0.3">
      <c r="A33" s="33">
        <v>44044</v>
      </c>
      <c r="B33" s="39">
        <f t="shared" si="0"/>
        <v>103.56593169232637</v>
      </c>
      <c r="C33" s="22">
        <v>0</v>
      </c>
      <c r="D33" s="22">
        <v>0</v>
      </c>
      <c r="E33" s="22">
        <v>0</v>
      </c>
      <c r="F33" s="22">
        <v>0</v>
      </c>
      <c r="G33" s="22">
        <v>0</v>
      </c>
      <c r="H33" s="22">
        <v>0</v>
      </c>
      <c r="I33" s="22">
        <v>0</v>
      </c>
      <c r="J33" s="22">
        <v>0</v>
      </c>
      <c r="K33" s="22">
        <v>0</v>
      </c>
      <c r="L33" s="22">
        <v>0</v>
      </c>
      <c r="M33" s="22">
        <v>0</v>
      </c>
      <c r="N33" s="22">
        <v>0</v>
      </c>
      <c r="O33" s="22">
        <v>0</v>
      </c>
      <c r="P33" s="22">
        <v>0</v>
      </c>
      <c r="Q33" s="22">
        <v>0</v>
      </c>
    </row>
    <row r="34" spans="1:17" x14ac:dyDescent="0.3">
      <c r="A34" s="33">
        <v>44075</v>
      </c>
      <c r="B34" s="39">
        <f t="shared" si="0"/>
        <v>103.56593169232637</v>
      </c>
      <c r="C34" s="22">
        <v>0</v>
      </c>
      <c r="D34" s="22">
        <v>0</v>
      </c>
      <c r="E34" s="22">
        <v>0</v>
      </c>
      <c r="F34" s="22">
        <v>0</v>
      </c>
      <c r="G34" s="22">
        <v>0</v>
      </c>
      <c r="H34" s="22">
        <v>0</v>
      </c>
      <c r="I34" s="22">
        <v>0</v>
      </c>
      <c r="J34" s="22">
        <v>0</v>
      </c>
      <c r="K34" s="22">
        <v>0</v>
      </c>
      <c r="L34" s="22">
        <v>0</v>
      </c>
      <c r="M34" s="22">
        <v>0</v>
      </c>
      <c r="N34" s="22">
        <v>0</v>
      </c>
      <c r="O34" s="22">
        <v>0</v>
      </c>
      <c r="P34" s="22">
        <v>0</v>
      </c>
      <c r="Q34" s="22">
        <v>0</v>
      </c>
    </row>
    <row r="35" spans="1:17" x14ac:dyDescent="0.3">
      <c r="A35" s="33">
        <v>44105</v>
      </c>
      <c r="B35" s="39">
        <f t="shared" si="0"/>
        <v>103.56593169232637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0</v>
      </c>
      <c r="J35" s="22">
        <v>0</v>
      </c>
      <c r="K35" s="22">
        <v>0</v>
      </c>
      <c r="L35" s="22">
        <v>0</v>
      </c>
      <c r="M35" s="22">
        <v>0</v>
      </c>
      <c r="N35" s="22">
        <v>0</v>
      </c>
      <c r="O35" s="22">
        <v>0</v>
      </c>
      <c r="P35" s="22">
        <v>0</v>
      </c>
      <c r="Q35" s="22">
        <v>0</v>
      </c>
    </row>
    <row r="36" spans="1:17" x14ac:dyDescent="0.3">
      <c r="A36" s="33">
        <v>44136</v>
      </c>
      <c r="B36" s="39">
        <f t="shared" si="0"/>
        <v>103.56593169232637</v>
      </c>
      <c r="C36" s="22">
        <v>0</v>
      </c>
      <c r="D36" s="22">
        <v>0</v>
      </c>
      <c r="E36" s="22">
        <v>0</v>
      </c>
      <c r="F36" s="22">
        <v>0</v>
      </c>
      <c r="G36" s="22">
        <v>0</v>
      </c>
      <c r="H36" s="22">
        <v>0</v>
      </c>
      <c r="I36" s="22">
        <v>0</v>
      </c>
      <c r="J36" s="22">
        <v>0</v>
      </c>
      <c r="K36" s="22">
        <v>0</v>
      </c>
      <c r="L36" s="22">
        <v>0</v>
      </c>
      <c r="M36" s="22">
        <v>0</v>
      </c>
      <c r="N36" s="22">
        <v>0</v>
      </c>
      <c r="O36" s="22">
        <v>0</v>
      </c>
      <c r="P36" s="22">
        <v>0</v>
      </c>
      <c r="Q36" s="22">
        <v>0</v>
      </c>
    </row>
    <row r="37" spans="1:17" x14ac:dyDescent="0.3">
      <c r="A37" s="33">
        <v>44166</v>
      </c>
      <c r="B37" s="39">
        <f t="shared" si="0"/>
        <v>103.56593169232637</v>
      </c>
      <c r="C37" s="22">
        <v>0</v>
      </c>
      <c r="D37" s="22">
        <v>0</v>
      </c>
      <c r="E37" s="22">
        <v>0</v>
      </c>
      <c r="F37" s="22">
        <v>0</v>
      </c>
      <c r="G37" s="22">
        <v>0</v>
      </c>
      <c r="H37" s="22">
        <v>0</v>
      </c>
      <c r="I37" s="22">
        <v>0</v>
      </c>
      <c r="J37" s="22">
        <v>0</v>
      </c>
      <c r="K37" s="22">
        <v>0</v>
      </c>
      <c r="L37" s="22">
        <v>0</v>
      </c>
      <c r="M37" s="22">
        <v>0</v>
      </c>
      <c r="N37" s="22">
        <v>0</v>
      </c>
      <c r="O37" s="22">
        <v>0</v>
      </c>
      <c r="P37" s="22">
        <v>0</v>
      </c>
      <c r="Q37" s="22">
        <v>0</v>
      </c>
    </row>
    <row r="38" spans="1:17" x14ac:dyDescent="0.3">
      <c r="A38" s="33">
        <v>44197</v>
      </c>
      <c r="B38" s="39">
        <f t="shared" si="0"/>
        <v>103.56593169232637</v>
      </c>
      <c r="C38" s="22">
        <v>0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v>0</v>
      </c>
      <c r="K38" s="22">
        <v>0</v>
      </c>
      <c r="L38" s="23">
        <f>AVERAGE(Feuil2!MY$16:NJ$16)</f>
        <v>4.0073781588283912E-3</v>
      </c>
      <c r="M38" s="22">
        <v>0</v>
      </c>
      <c r="N38" s="22">
        <v>0</v>
      </c>
      <c r="O38" s="22">
        <v>0</v>
      </c>
      <c r="P38" s="22">
        <v>0</v>
      </c>
      <c r="Q38" s="23">
        <f>Feuil2!U394/100</f>
        <v>0</v>
      </c>
    </row>
    <row r="39" spans="1:17" x14ac:dyDescent="0.3">
      <c r="A39" s="33">
        <v>44228</v>
      </c>
      <c r="B39" s="39">
        <f t="shared" si="0"/>
        <v>103.56593169232637</v>
      </c>
      <c r="C39" s="22">
        <v>0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v>0</v>
      </c>
      <c r="K39" s="22">
        <v>0</v>
      </c>
      <c r="L39" s="22">
        <v>0</v>
      </c>
      <c r="M39" s="22">
        <v>0</v>
      </c>
      <c r="N39" s="22">
        <v>0</v>
      </c>
      <c r="O39" s="22">
        <v>0</v>
      </c>
      <c r="P39" s="22">
        <v>0</v>
      </c>
      <c r="Q39" s="22">
        <v>0</v>
      </c>
    </row>
    <row r="40" spans="1:17" x14ac:dyDescent="0.3">
      <c r="A40" s="33">
        <v>44256</v>
      </c>
      <c r="B40" s="39">
        <f t="shared" si="0"/>
        <v>103.56593169232637</v>
      </c>
      <c r="C40" s="22">
        <v>0</v>
      </c>
      <c r="D40" s="22">
        <v>0</v>
      </c>
      <c r="E40" s="22">
        <v>0</v>
      </c>
      <c r="F40" s="22">
        <v>0</v>
      </c>
      <c r="G40" s="22">
        <v>0</v>
      </c>
      <c r="H40" s="22">
        <v>0</v>
      </c>
      <c r="I40" s="22">
        <v>0</v>
      </c>
      <c r="J40" s="22">
        <v>0</v>
      </c>
      <c r="K40" s="22">
        <v>0</v>
      </c>
      <c r="L40" s="22">
        <v>0</v>
      </c>
      <c r="M40" s="22">
        <v>0</v>
      </c>
      <c r="N40" s="22">
        <v>0</v>
      </c>
      <c r="O40" s="22">
        <v>0</v>
      </c>
      <c r="P40" s="22">
        <v>0</v>
      </c>
      <c r="Q40" s="22">
        <v>0</v>
      </c>
    </row>
    <row r="41" spans="1:17" x14ac:dyDescent="0.3">
      <c r="A41" s="33">
        <v>44287</v>
      </c>
      <c r="B41" s="39">
        <f t="shared" si="0"/>
        <v>103.70115533080232</v>
      </c>
      <c r="C41" s="23">
        <f>AVERAGE(Feuil2!NB$16:NM$16)</f>
        <v>1.3056768405045975E-3</v>
      </c>
      <c r="D41" s="23">
        <f>AVERAGE(Feuil2!NB$16:NM$16)</f>
        <v>1.3056768405045975E-3</v>
      </c>
      <c r="E41" s="23">
        <f>AVERAGE(Feuil2!NB$16:NM$16)</f>
        <v>1.3056768405045975E-3</v>
      </c>
      <c r="F41" s="23">
        <f>AVERAGE(Feuil2!NB$16:NM$16)</f>
        <v>1.3056768405045975E-3</v>
      </c>
      <c r="G41" s="23">
        <f>AVERAGE(Feuil2!NB$16:NM$16)</f>
        <v>1.3056768405045975E-3</v>
      </c>
      <c r="H41" s="23">
        <f>AVERAGE(Feuil2!NB$16:NM$16)</f>
        <v>1.3056768405045975E-3</v>
      </c>
      <c r="I41" s="23">
        <f>AVERAGE(Feuil2!NB$16:NM$16)</f>
        <v>1.3056768405045975E-3</v>
      </c>
      <c r="J41" s="23">
        <f>AVERAGE(Feuil2!NB$16:NM$16)</f>
        <v>1.3056768405045975E-3</v>
      </c>
      <c r="K41" s="23">
        <f>AVERAGE(Feuil2!NB$16:NM$16)</f>
        <v>1.3056768405045975E-3</v>
      </c>
      <c r="L41" s="22">
        <v>0</v>
      </c>
      <c r="M41" s="23">
        <f>AVERAGE(Feuil2!NB$16:NM$16)</f>
        <v>1.3056768405045975E-3</v>
      </c>
      <c r="N41" s="23">
        <f>AVERAGE(Feuil2!NB$16:NM$16)</f>
        <v>1.3056768405045975E-3</v>
      </c>
      <c r="O41" s="23">
        <f>AVERAGE(Feuil2!NB$16:NM$16)</f>
        <v>1.3056768405045975E-3</v>
      </c>
      <c r="P41" s="23">
        <f>AVERAGE(Feuil2!NB$16:NM$16)</f>
        <v>1.3056768405045975E-3</v>
      </c>
      <c r="Q41" s="22">
        <v>0</v>
      </c>
    </row>
    <row r="42" spans="1:17" x14ac:dyDescent="0.3">
      <c r="A42" s="33">
        <v>44317</v>
      </c>
      <c r="B42" s="39">
        <f t="shared" si="0"/>
        <v>103.70115533080232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0</v>
      </c>
      <c r="I42" s="22">
        <v>0</v>
      </c>
      <c r="J42" s="22">
        <v>0</v>
      </c>
      <c r="K42" s="22">
        <v>0</v>
      </c>
      <c r="L42" s="22">
        <v>0</v>
      </c>
      <c r="M42" s="22">
        <v>0</v>
      </c>
      <c r="N42" s="22">
        <v>0</v>
      </c>
      <c r="O42" s="22">
        <v>0</v>
      </c>
      <c r="P42" s="22">
        <v>0</v>
      </c>
      <c r="Q42" s="22">
        <v>0</v>
      </c>
    </row>
    <row r="43" spans="1:17" x14ac:dyDescent="0.3">
      <c r="A43" s="33">
        <v>44348</v>
      </c>
      <c r="B43" s="39">
        <f t="shared" si="0"/>
        <v>103.70115533080232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0</v>
      </c>
      <c r="I43" s="22">
        <v>0</v>
      </c>
      <c r="J43" s="22">
        <v>0</v>
      </c>
      <c r="K43" s="22">
        <v>0</v>
      </c>
      <c r="L43" s="22">
        <v>0</v>
      </c>
      <c r="M43" s="22">
        <v>0</v>
      </c>
      <c r="N43" s="22">
        <v>0</v>
      </c>
      <c r="O43" s="22">
        <v>0</v>
      </c>
      <c r="P43" s="22">
        <v>0</v>
      </c>
      <c r="Q43" s="22">
        <v>0</v>
      </c>
    </row>
    <row r="44" spans="1:17" x14ac:dyDescent="0.3">
      <c r="A44" s="33">
        <v>44378</v>
      </c>
      <c r="B44" s="39">
        <f t="shared" si="0"/>
        <v>103.70115533080232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0</v>
      </c>
      <c r="I44" s="22">
        <v>0</v>
      </c>
      <c r="J44" s="22">
        <v>0</v>
      </c>
      <c r="K44" s="22">
        <v>0</v>
      </c>
      <c r="L44" s="22">
        <v>0</v>
      </c>
      <c r="M44" s="22">
        <v>0</v>
      </c>
      <c r="N44" s="22">
        <v>0</v>
      </c>
      <c r="O44" s="22">
        <v>0</v>
      </c>
      <c r="P44" s="22">
        <v>0</v>
      </c>
      <c r="Q44" s="22">
        <v>0</v>
      </c>
    </row>
    <row r="45" spans="1:17" x14ac:dyDescent="0.3">
      <c r="A45" s="33">
        <v>44409</v>
      </c>
      <c r="B45" s="39">
        <f t="shared" si="0"/>
        <v>103.70115533080232</v>
      </c>
      <c r="C45" s="22">
        <v>0</v>
      </c>
      <c r="D45" s="22">
        <v>0</v>
      </c>
      <c r="E45" s="22">
        <v>0</v>
      </c>
      <c r="F45" s="22">
        <v>0</v>
      </c>
      <c r="G45" s="22">
        <v>0</v>
      </c>
      <c r="H45" s="22">
        <v>0</v>
      </c>
      <c r="I45" s="22">
        <v>0</v>
      </c>
      <c r="J45" s="22">
        <v>0</v>
      </c>
      <c r="K45" s="22">
        <v>0</v>
      </c>
      <c r="L45" s="22">
        <v>0</v>
      </c>
      <c r="M45" s="22">
        <v>0</v>
      </c>
      <c r="N45" s="22">
        <v>0</v>
      </c>
      <c r="O45" s="22">
        <v>0</v>
      </c>
      <c r="P45" s="22">
        <v>0</v>
      </c>
      <c r="Q45" s="22">
        <v>0</v>
      </c>
    </row>
    <row r="46" spans="1:17" x14ac:dyDescent="0.3">
      <c r="A46" s="33">
        <v>44440</v>
      </c>
      <c r="B46" s="39">
        <f t="shared" si="0"/>
        <v>103.70115533080232</v>
      </c>
      <c r="C46" s="22">
        <v>0</v>
      </c>
      <c r="D46" s="22">
        <v>0</v>
      </c>
      <c r="E46" s="22">
        <v>0</v>
      </c>
      <c r="F46" s="22">
        <v>0</v>
      </c>
      <c r="G46" s="22">
        <v>0</v>
      </c>
      <c r="H46" s="22">
        <v>0</v>
      </c>
      <c r="I46" s="22">
        <v>0</v>
      </c>
      <c r="J46" s="22">
        <v>0</v>
      </c>
      <c r="K46" s="22">
        <v>0</v>
      </c>
      <c r="L46" s="22">
        <v>0</v>
      </c>
      <c r="M46" s="22">
        <v>0</v>
      </c>
      <c r="N46" s="22">
        <v>0</v>
      </c>
      <c r="O46" s="22">
        <v>0</v>
      </c>
      <c r="P46" s="22">
        <v>0</v>
      </c>
      <c r="Q46" s="22">
        <v>0</v>
      </c>
    </row>
    <row r="47" spans="1:17" x14ac:dyDescent="0.3">
      <c r="A47" s="33">
        <v>44470</v>
      </c>
      <c r="B47" s="39">
        <f t="shared" si="0"/>
        <v>103.70115533080232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0</v>
      </c>
      <c r="I47" s="22">
        <v>0</v>
      </c>
      <c r="J47" s="22">
        <v>0</v>
      </c>
      <c r="K47" s="22">
        <v>0</v>
      </c>
      <c r="L47" s="22">
        <v>0</v>
      </c>
      <c r="M47" s="22">
        <v>0</v>
      </c>
      <c r="N47" s="22">
        <v>0</v>
      </c>
      <c r="O47" s="22">
        <v>0</v>
      </c>
      <c r="P47" s="22">
        <v>0</v>
      </c>
      <c r="Q47" s="22">
        <v>0</v>
      </c>
    </row>
    <row r="48" spans="1:17" x14ac:dyDescent="0.3">
      <c r="A48" s="33">
        <v>44501</v>
      </c>
      <c r="B48" s="39">
        <f t="shared" si="0"/>
        <v>103.70115533080232</v>
      </c>
      <c r="C48" s="22">
        <v>0</v>
      </c>
      <c r="D48" s="22">
        <v>0</v>
      </c>
      <c r="E48" s="22">
        <v>0</v>
      </c>
      <c r="F48" s="22">
        <v>0</v>
      </c>
      <c r="G48" s="22">
        <v>0</v>
      </c>
      <c r="H48" s="22">
        <v>0</v>
      </c>
      <c r="I48" s="22">
        <v>0</v>
      </c>
      <c r="J48" s="22">
        <v>0</v>
      </c>
      <c r="K48" s="22">
        <v>0</v>
      </c>
      <c r="L48" s="22">
        <v>0</v>
      </c>
      <c r="M48" s="22">
        <v>0</v>
      </c>
      <c r="N48" s="22">
        <v>0</v>
      </c>
      <c r="O48" s="22">
        <v>0</v>
      </c>
      <c r="P48" s="22">
        <v>0</v>
      </c>
      <c r="Q48" s="22">
        <v>0</v>
      </c>
    </row>
    <row r="49" spans="1:17" x14ac:dyDescent="0.3">
      <c r="A49" s="33">
        <v>44531</v>
      </c>
      <c r="B49" s="39">
        <f t="shared" si="0"/>
        <v>103.70115533080232</v>
      </c>
      <c r="C49" s="22">
        <v>0</v>
      </c>
      <c r="D49" s="22">
        <v>0</v>
      </c>
      <c r="E49" s="22">
        <v>0</v>
      </c>
      <c r="F49" s="22">
        <v>0</v>
      </c>
      <c r="G49" s="22">
        <v>0</v>
      </c>
      <c r="H49" s="22">
        <v>0</v>
      </c>
      <c r="I49" s="22">
        <v>0</v>
      </c>
      <c r="J49" s="22">
        <v>0</v>
      </c>
      <c r="K49" s="22">
        <v>0</v>
      </c>
      <c r="L49" s="22">
        <v>0</v>
      </c>
      <c r="M49" s="22">
        <v>0</v>
      </c>
      <c r="N49" s="22">
        <v>0</v>
      </c>
      <c r="O49" s="22">
        <v>0</v>
      </c>
      <c r="P49" s="22">
        <v>0</v>
      </c>
      <c r="Q49" s="22">
        <v>0</v>
      </c>
    </row>
    <row r="50" spans="1:17" x14ac:dyDescent="0.3">
      <c r="A50" s="33">
        <v>44562</v>
      </c>
      <c r="B50" s="39">
        <f t="shared" si="0"/>
        <v>103.70115533080232</v>
      </c>
      <c r="C50" s="22">
        <v>0</v>
      </c>
      <c r="D50" s="22">
        <v>0</v>
      </c>
      <c r="E50" s="22">
        <v>0</v>
      </c>
      <c r="F50" s="22">
        <v>0</v>
      </c>
      <c r="G50" s="22">
        <v>0</v>
      </c>
      <c r="H50" s="22">
        <v>0</v>
      </c>
      <c r="I50" s="22">
        <v>0</v>
      </c>
      <c r="J50" s="22">
        <v>0</v>
      </c>
      <c r="K50" s="22">
        <v>0</v>
      </c>
      <c r="L50" s="23">
        <f>AVERAGE(Feuil2!NK$16:NV$16)</f>
        <v>1.0524917198184991E-2</v>
      </c>
      <c r="M50" s="22">
        <v>0</v>
      </c>
      <c r="N50" s="22">
        <v>0</v>
      </c>
      <c r="O50" s="22">
        <v>0</v>
      </c>
      <c r="P50" s="22">
        <v>0</v>
      </c>
      <c r="Q50" s="23">
        <f>Feuil2!U406/100</f>
        <v>0</v>
      </c>
    </row>
    <row r="51" spans="1:17" x14ac:dyDescent="0.3">
      <c r="A51" s="33">
        <v>44593</v>
      </c>
      <c r="B51" s="39">
        <f t="shared" si="0"/>
        <v>103.70115533080232</v>
      </c>
      <c r="C51" s="22">
        <v>0</v>
      </c>
      <c r="D51" s="22">
        <v>0</v>
      </c>
      <c r="E51" s="22">
        <v>0</v>
      </c>
      <c r="F51" s="22">
        <v>0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</row>
    <row r="52" spans="1:17" x14ac:dyDescent="0.3">
      <c r="A52" s="33">
        <v>44621</v>
      </c>
      <c r="B52" s="39">
        <f t="shared" si="0"/>
        <v>103.70115533080232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0</v>
      </c>
      <c r="I52" s="22">
        <v>0</v>
      </c>
      <c r="J52" s="22">
        <v>0</v>
      </c>
      <c r="K52" s="22">
        <v>0</v>
      </c>
      <c r="L52" s="22">
        <v>0</v>
      </c>
      <c r="M52" s="22">
        <v>0</v>
      </c>
      <c r="N52" s="22">
        <v>0</v>
      </c>
      <c r="O52" s="22">
        <v>0</v>
      </c>
      <c r="P52" s="22">
        <v>0</v>
      </c>
      <c r="Q52" s="22">
        <v>0</v>
      </c>
    </row>
    <row r="53" spans="1:17" x14ac:dyDescent="0.3">
      <c r="A53" s="33">
        <v>44652</v>
      </c>
      <c r="B53" s="39">
        <f t="shared" si="0"/>
        <v>105.54153936505013</v>
      </c>
      <c r="C53" s="23">
        <f>AVERAGE(Feuil2!NN$16:NY$16)</f>
        <v>1.7746996437764489E-2</v>
      </c>
      <c r="D53" s="23">
        <f>AVERAGE(Feuil2!NN$16:NY$16)</f>
        <v>1.7746996437764489E-2</v>
      </c>
      <c r="E53" s="23">
        <f>AVERAGE(Feuil2!NN$16:NY$16)</f>
        <v>1.7746996437764489E-2</v>
      </c>
      <c r="F53" s="23">
        <f>AVERAGE(Feuil2!NN$16:NY$16)</f>
        <v>1.7746996437764489E-2</v>
      </c>
      <c r="G53" s="23">
        <f>AVERAGE(Feuil2!NN$16:NY$16)</f>
        <v>1.7746996437764489E-2</v>
      </c>
      <c r="H53" s="23">
        <f>AVERAGE(Feuil2!NN$16:NY$16)</f>
        <v>1.7746996437764489E-2</v>
      </c>
      <c r="I53" s="23">
        <f>AVERAGE(Feuil2!NN$16:NY$16)</f>
        <v>1.7746996437764489E-2</v>
      </c>
      <c r="J53" s="23">
        <f>AVERAGE(Feuil2!NN$16:NY$16)</f>
        <v>1.7746996437764489E-2</v>
      </c>
      <c r="K53" s="23">
        <f>AVERAGE(Feuil2!NN$16:NY$16)</f>
        <v>1.7746996437764489E-2</v>
      </c>
      <c r="L53" s="22">
        <v>0</v>
      </c>
      <c r="M53" s="23">
        <f>AVERAGE(Feuil2!NN$16:NY$16)</f>
        <v>1.7746996437764489E-2</v>
      </c>
      <c r="N53" s="23">
        <f>AVERAGE(Feuil2!NN$16:NY$16)</f>
        <v>1.7746996437764489E-2</v>
      </c>
      <c r="O53" s="23">
        <f>AVERAGE(Feuil2!NN$16:NY$16)</f>
        <v>1.7746996437764489E-2</v>
      </c>
      <c r="P53" s="23">
        <f>AVERAGE(Feuil2!NN$16:NY$16)</f>
        <v>1.7746996437764489E-2</v>
      </c>
      <c r="Q53" s="22">
        <v>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8E706-1491-400B-A0E5-A19F5444FCF9}">
  <dimension ref="A1:OE22"/>
  <sheetViews>
    <sheetView topLeftCell="MA1" workbookViewId="0">
      <selection activeCell="MZ20" sqref="MZ20"/>
    </sheetView>
  </sheetViews>
  <sheetFormatPr baseColWidth="10" defaultRowHeight="14.4" x14ac:dyDescent="0.3"/>
  <cols>
    <col min="1" max="1" width="54.21875" customWidth="1"/>
  </cols>
  <sheetData>
    <row r="1" spans="1:391" x14ac:dyDescent="0.3">
      <c r="A1" s="24" t="s">
        <v>22</v>
      </c>
      <c r="B1" s="24" t="s">
        <v>23</v>
      </c>
      <c r="C1" s="24" t="s">
        <v>24</v>
      </c>
      <c r="D1" s="24" t="s">
        <v>25</v>
      </c>
      <c r="E1" s="25" t="s">
        <v>412</v>
      </c>
      <c r="F1" s="25" t="s">
        <v>411</v>
      </c>
      <c r="G1" s="25" t="s">
        <v>410</v>
      </c>
      <c r="H1" s="25" t="s">
        <v>409</v>
      </c>
      <c r="I1" s="25" t="s">
        <v>408</v>
      </c>
      <c r="J1" s="25" t="s">
        <v>407</v>
      </c>
      <c r="K1" s="25" t="s">
        <v>406</v>
      </c>
      <c r="L1" s="25" t="s">
        <v>405</v>
      </c>
      <c r="M1" s="25" t="s">
        <v>404</v>
      </c>
      <c r="N1" s="25" t="s">
        <v>403</v>
      </c>
      <c r="O1" s="25" t="s">
        <v>402</v>
      </c>
      <c r="P1" s="25" t="s">
        <v>401</v>
      </c>
      <c r="Q1" s="25" t="s">
        <v>400</v>
      </c>
      <c r="R1" s="25" t="s">
        <v>399</v>
      </c>
      <c r="S1" s="25" t="s">
        <v>398</v>
      </c>
      <c r="T1" s="25" t="s">
        <v>397</v>
      </c>
      <c r="U1" s="25" t="s">
        <v>396</v>
      </c>
      <c r="V1" s="25" t="s">
        <v>395</v>
      </c>
      <c r="W1" s="25" t="s">
        <v>394</v>
      </c>
      <c r="X1" s="25" t="s">
        <v>393</v>
      </c>
      <c r="Y1" s="25" t="s">
        <v>392</v>
      </c>
      <c r="Z1" s="25" t="s">
        <v>391</v>
      </c>
      <c r="AA1" s="25" t="s">
        <v>390</v>
      </c>
      <c r="AB1" s="25" t="s">
        <v>389</v>
      </c>
      <c r="AC1" s="25" t="s">
        <v>388</v>
      </c>
      <c r="AD1" s="25" t="s">
        <v>387</v>
      </c>
      <c r="AE1" s="25" t="s">
        <v>386</v>
      </c>
      <c r="AF1" s="25" t="s">
        <v>385</v>
      </c>
      <c r="AG1" s="25" t="s">
        <v>384</v>
      </c>
      <c r="AH1" s="25" t="s">
        <v>383</v>
      </c>
      <c r="AI1" s="25" t="s">
        <v>382</v>
      </c>
      <c r="AJ1" s="25" t="s">
        <v>381</v>
      </c>
      <c r="AK1" s="25" t="s">
        <v>380</v>
      </c>
      <c r="AL1" s="25" t="s">
        <v>379</v>
      </c>
      <c r="AM1" s="25" t="s">
        <v>378</v>
      </c>
      <c r="AN1" s="25" t="s">
        <v>377</v>
      </c>
      <c r="AO1" s="25" t="s">
        <v>376</v>
      </c>
      <c r="AP1" s="25" t="s">
        <v>375</v>
      </c>
      <c r="AQ1" s="25" t="s">
        <v>374</v>
      </c>
      <c r="AR1" s="25" t="s">
        <v>373</v>
      </c>
      <c r="AS1" s="25" t="s">
        <v>372</v>
      </c>
      <c r="AT1" s="25" t="s">
        <v>371</v>
      </c>
      <c r="AU1" s="25" t="s">
        <v>370</v>
      </c>
      <c r="AV1" s="25" t="s">
        <v>369</v>
      </c>
      <c r="AW1" s="25" t="s">
        <v>368</v>
      </c>
      <c r="AX1" s="25" t="s">
        <v>367</v>
      </c>
      <c r="AY1" s="25" t="s">
        <v>366</v>
      </c>
      <c r="AZ1" s="25" t="s">
        <v>365</v>
      </c>
      <c r="BA1" s="25" t="s">
        <v>364</v>
      </c>
      <c r="BB1" s="25" t="s">
        <v>363</v>
      </c>
      <c r="BC1" s="25" t="s">
        <v>362</v>
      </c>
      <c r="BD1" s="25" t="s">
        <v>361</v>
      </c>
      <c r="BE1" s="25" t="s">
        <v>360</v>
      </c>
      <c r="BF1" s="25" t="s">
        <v>359</v>
      </c>
      <c r="BG1" s="25" t="s">
        <v>358</v>
      </c>
      <c r="BH1" s="25" t="s">
        <v>357</v>
      </c>
      <c r="BI1" s="25" t="s">
        <v>356</v>
      </c>
      <c r="BJ1" s="25" t="s">
        <v>355</v>
      </c>
      <c r="BK1" s="25" t="s">
        <v>354</v>
      </c>
      <c r="BL1" s="25" t="s">
        <v>353</v>
      </c>
      <c r="BM1" s="25" t="s">
        <v>352</v>
      </c>
      <c r="BN1" s="25" t="s">
        <v>351</v>
      </c>
      <c r="BO1" s="25" t="s">
        <v>350</v>
      </c>
      <c r="BP1" s="25" t="s">
        <v>349</v>
      </c>
      <c r="BQ1" s="25" t="s">
        <v>348</v>
      </c>
      <c r="BR1" s="25" t="s">
        <v>347</v>
      </c>
      <c r="BS1" s="25" t="s">
        <v>346</v>
      </c>
      <c r="BT1" s="25" t="s">
        <v>345</v>
      </c>
      <c r="BU1" s="25" t="s">
        <v>344</v>
      </c>
      <c r="BV1" s="25" t="s">
        <v>343</v>
      </c>
      <c r="BW1" s="25" t="s">
        <v>342</v>
      </c>
      <c r="BX1" s="25" t="s">
        <v>341</v>
      </c>
      <c r="BY1" s="25" t="s">
        <v>340</v>
      </c>
      <c r="BZ1" s="25" t="s">
        <v>339</v>
      </c>
      <c r="CA1" s="25" t="s">
        <v>338</v>
      </c>
      <c r="CB1" s="25" t="s">
        <v>337</v>
      </c>
      <c r="CC1" s="25" t="s">
        <v>336</v>
      </c>
      <c r="CD1" s="25" t="s">
        <v>335</v>
      </c>
      <c r="CE1" s="25" t="s">
        <v>334</v>
      </c>
      <c r="CF1" s="25" t="s">
        <v>333</v>
      </c>
      <c r="CG1" s="25" t="s">
        <v>332</v>
      </c>
      <c r="CH1" s="25" t="s">
        <v>331</v>
      </c>
      <c r="CI1" s="25" t="s">
        <v>330</v>
      </c>
      <c r="CJ1" s="25" t="s">
        <v>329</v>
      </c>
      <c r="CK1" s="25" t="s">
        <v>328</v>
      </c>
      <c r="CL1" s="25" t="s">
        <v>327</v>
      </c>
      <c r="CM1" s="25" t="s">
        <v>326</v>
      </c>
      <c r="CN1" s="25" t="s">
        <v>325</v>
      </c>
      <c r="CO1" s="25" t="s">
        <v>324</v>
      </c>
      <c r="CP1" s="25" t="s">
        <v>323</v>
      </c>
      <c r="CQ1" s="25" t="s">
        <v>322</v>
      </c>
      <c r="CR1" s="25" t="s">
        <v>321</v>
      </c>
      <c r="CS1" s="25" t="s">
        <v>320</v>
      </c>
      <c r="CT1" s="25" t="s">
        <v>319</v>
      </c>
      <c r="CU1" s="25" t="s">
        <v>318</v>
      </c>
      <c r="CV1" s="25" t="s">
        <v>317</v>
      </c>
      <c r="CW1" s="25" t="s">
        <v>316</v>
      </c>
      <c r="CX1" s="25" t="s">
        <v>315</v>
      </c>
      <c r="CY1" s="25" t="s">
        <v>314</v>
      </c>
      <c r="CZ1" s="25" t="s">
        <v>313</v>
      </c>
      <c r="DA1" s="25" t="s">
        <v>312</v>
      </c>
      <c r="DB1" s="25" t="s">
        <v>311</v>
      </c>
      <c r="DC1" s="25" t="s">
        <v>310</v>
      </c>
      <c r="DD1" s="25" t="s">
        <v>309</v>
      </c>
      <c r="DE1" s="25" t="s">
        <v>308</v>
      </c>
      <c r="DF1" s="25" t="s">
        <v>307</v>
      </c>
      <c r="DG1" s="25" t="s">
        <v>306</v>
      </c>
      <c r="DH1" s="25" t="s">
        <v>305</v>
      </c>
      <c r="DI1" s="25" t="s">
        <v>304</v>
      </c>
      <c r="DJ1" s="25" t="s">
        <v>303</v>
      </c>
      <c r="DK1" s="25" t="s">
        <v>302</v>
      </c>
      <c r="DL1" s="25" t="s">
        <v>301</v>
      </c>
      <c r="DM1" s="25" t="s">
        <v>300</v>
      </c>
      <c r="DN1" s="25" t="s">
        <v>299</v>
      </c>
      <c r="DO1" s="25" t="s">
        <v>298</v>
      </c>
      <c r="DP1" s="25" t="s">
        <v>297</v>
      </c>
      <c r="DQ1" s="25" t="s">
        <v>296</v>
      </c>
      <c r="DR1" s="25" t="s">
        <v>295</v>
      </c>
      <c r="DS1" s="25" t="s">
        <v>294</v>
      </c>
      <c r="DT1" s="25" t="s">
        <v>293</v>
      </c>
      <c r="DU1" s="25" t="s">
        <v>292</v>
      </c>
      <c r="DV1" s="25" t="s">
        <v>291</v>
      </c>
      <c r="DW1" s="25" t="s">
        <v>290</v>
      </c>
      <c r="DX1" s="25" t="s">
        <v>289</v>
      </c>
      <c r="DY1" s="25" t="s">
        <v>288</v>
      </c>
      <c r="DZ1" s="25" t="s">
        <v>287</v>
      </c>
      <c r="EA1" s="25" t="s">
        <v>286</v>
      </c>
      <c r="EB1" s="25" t="s">
        <v>285</v>
      </c>
      <c r="EC1" s="25" t="s">
        <v>284</v>
      </c>
      <c r="ED1" s="25" t="s">
        <v>283</v>
      </c>
      <c r="EE1" s="25" t="s">
        <v>282</v>
      </c>
      <c r="EF1" s="25" t="s">
        <v>281</v>
      </c>
      <c r="EG1" s="25" t="s">
        <v>280</v>
      </c>
      <c r="EH1" s="25" t="s">
        <v>279</v>
      </c>
      <c r="EI1" s="25" t="s">
        <v>278</v>
      </c>
      <c r="EJ1" s="25" t="s">
        <v>277</v>
      </c>
      <c r="EK1" s="25" t="s">
        <v>276</v>
      </c>
      <c r="EL1" s="25" t="s">
        <v>275</v>
      </c>
      <c r="EM1" s="25" t="s">
        <v>274</v>
      </c>
      <c r="EN1" s="25" t="s">
        <v>273</v>
      </c>
      <c r="EO1" s="25" t="s">
        <v>272</v>
      </c>
      <c r="EP1" s="25" t="s">
        <v>271</v>
      </c>
      <c r="EQ1" s="25" t="s">
        <v>270</v>
      </c>
      <c r="ER1" s="25" t="s">
        <v>269</v>
      </c>
      <c r="ES1" s="25" t="s">
        <v>268</v>
      </c>
      <c r="ET1" s="25" t="s">
        <v>267</v>
      </c>
      <c r="EU1" s="25" t="s">
        <v>266</v>
      </c>
      <c r="EV1" s="25" t="s">
        <v>265</v>
      </c>
      <c r="EW1" s="25" t="s">
        <v>264</v>
      </c>
      <c r="EX1" s="25" t="s">
        <v>263</v>
      </c>
      <c r="EY1" s="25" t="s">
        <v>262</v>
      </c>
      <c r="EZ1" s="25" t="s">
        <v>261</v>
      </c>
      <c r="FA1" s="25" t="s">
        <v>260</v>
      </c>
      <c r="FB1" s="25" t="s">
        <v>259</v>
      </c>
      <c r="FC1" s="25" t="s">
        <v>258</v>
      </c>
      <c r="FD1" s="25" t="s">
        <v>257</v>
      </c>
      <c r="FE1" s="25" t="s">
        <v>256</v>
      </c>
      <c r="FF1" s="25" t="s">
        <v>255</v>
      </c>
      <c r="FG1" s="25" t="s">
        <v>254</v>
      </c>
      <c r="FH1" s="25" t="s">
        <v>253</v>
      </c>
      <c r="FI1" s="25" t="s">
        <v>252</v>
      </c>
      <c r="FJ1" s="25" t="s">
        <v>251</v>
      </c>
      <c r="FK1" s="25" t="s">
        <v>250</v>
      </c>
      <c r="FL1" s="25" t="s">
        <v>249</v>
      </c>
      <c r="FM1" s="25" t="s">
        <v>248</v>
      </c>
      <c r="FN1" s="25" t="s">
        <v>247</v>
      </c>
      <c r="FO1" s="25" t="s">
        <v>246</v>
      </c>
      <c r="FP1" s="25" t="s">
        <v>245</v>
      </c>
      <c r="FQ1" s="25" t="s">
        <v>244</v>
      </c>
      <c r="FR1" s="25" t="s">
        <v>243</v>
      </c>
      <c r="FS1" s="25" t="s">
        <v>242</v>
      </c>
      <c r="FT1" s="25" t="s">
        <v>241</v>
      </c>
      <c r="FU1" s="25" t="s">
        <v>240</v>
      </c>
      <c r="FV1" s="25" t="s">
        <v>239</v>
      </c>
      <c r="FW1" s="25" t="s">
        <v>238</v>
      </c>
      <c r="FX1" s="25" t="s">
        <v>237</v>
      </c>
      <c r="FY1" s="25" t="s">
        <v>236</v>
      </c>
      <c r="FZ1" s="25" t="s">
        <v>235</v>
      </c>
      <c r="GA1" s="25" t="s">
        <v>234</v>
      </c>
      <c r="GB1" s="25" t="s">
        <v>233</v>
      </c>
      <c r="GC1" s="25" t="s">
        <v>232</v>
      </c>
      <c r="GD1" s="25" t="s">
        <v>231</v>
      </c>
      <c r="GE1" s="25" t="s">
        <v>230</v>
      </c>
      <c r="GF1" s="25" t="s">
        <v>229</v>
      </c>
      <c r="GG1" s="25" t="s">
        <v>228</v>
      </c>
      <c r="GH1" s="25" t="s">
        <v>227</v>
      </c>
      <c r="GI1" s="25" t="s">
        <v>226</v>
      </c>
      <c r="GJ1" s="25" t="s">
        <v>225</v>
      </c>
      <c r="GK1" s="25" t="s">
        <v>224</v>
      </c>
      <c r="GL1" s="25" t="s">
        <v>223</v>
      </c>
      <c r="GM1" s="25" t="s">
        <v>222</v>
      </c>
      <c r="GN1" s="25" t="s">
        <v>221</v>
      </c>
      <c r="GO1" s="25" t="s">
        <v>220</v>
      </c>
      <c r="GP1" s="25" t="s">
        <v>219</v>
      </c>
      <c r="GQ1" s="25" t="s">
        <v>218</v>
      </c>
      <c r="GR1" s="25" t="s">
        <v>217</v>
      </c>
      <c r="GS1" s="25" t="s">
        <v>216</v>
      </c>
      <c r="GT1" s="25" t="s">
        <v>215</v>
      </c>
      <c r="GU1" s="25" t="s">
        <v>214</v>
      </c>
      <c r="GV1" s="25" t="s">
        <v>213</v>
      </c>
      <c r="GW1" s="25" t="s">
        <v>212</v>
      </c>
      <c r="GX1" s="25" t="s">
        <v>211</v>
      </c>
      <c r="GY1" s="25" t="s">
        <v>210</v>
      </c>
      <c r="GZ1" s="25" t="s">
        <v>209</v>
      </c>
      <c r="HA1" s="25" t="s">
        <v>208</v>
      </c>
      <c r="HB1" s="25" t="s">
        <v>207</v>
      </c>
      <c r="HC1" s="25" t="s">
        <v>206</v>
      </c>
      <c r="HD1" s="25" t="s">
        <v>205</v>
      </c>
      <c r="HE1" s="25" t="s">
        <v>204</v>
      </c>
      <c r="HF1" s="25" t="s">
        <v>203</v>
      </c>
      <c r="HG1" s="25" t="s">
        <v>202</v>
      </c>
      <c r="HH1" s="25" t="s">
        <v>201</v>
      </c>
      <c r="HI1" s="25" t="s">
        <v>200</v>
      </c>
      <c r="HJ1" s="25" t="s">
        <v>199</v>
      </c>
      <c r="HK1" s="25" t="s">
        <v>198</v>
      </c>
      <c r="HL1" s="25" t="s">
        <v>197</v>
      </c>
      <c r="HM1" s="25" t="s">
        <v>196</v>
      </c>
      <c r="HN1" s="25" t="s">
        <v>195</v>
      </c>
      <c r="HO1" s="25" t="s">
        <v>194</v>
      </c>
      <c r="HP1" s="25" t="s">
        <v>193</v>
      </c>
      <c r="HQ1" s="25" t="s">
        <v>192</v>
      </c>
      <c r="HR1" s="25" t="s">
        <v>191</v>
      </c>
      <c r="HS1" s="25" t="s">
        <v>190</v>
      </c>
      <c r="HT1" s="25" t="s">
        <v>189</v>
      </c>
      <c r="HU1" s="25" t="s">
        <v>188</v>
      </c>
      <c r="HV1" s="25" t="s">
        <v>187</v>
      </c>
      <c r="HW1" s="25" t="s">
        <v>186</v>
      </c>
      <c r="HX1" s="25" t="s">
        <v>185</v>
      </c>
      <c r="HY1" s="25" t="s">
        <v>184</v>
      </c>
      <c r="HZ1" s="25" t="s">
        <v>183</v>
      </c>
      <c r="IA1" s="25" t="s">
        <v>182</v>
      </c>
      <c r="IB1" s="25" t="s">
        <v>181</v>
      </c>
      <c r="IC1" s="25" t="s">
        <v>180</v>
      </c>
      <c r="ID1" s="25" t="s">
        <v>179</v>
      </c>
      <c r="IE1" s="25" t="s">
        <v>178</v>
      </c>
      <c r="IF1" s="25" t="s">
        <v>177</v>
      </c>
      <c r="IG1" s="25" t="s">
        <v>176</v>
      </c>
      <c r="IH1" s="25" t="s">
        <v>175</v>
      </c>
      <c r="II1" s="25" t="s">
        <v>174</v>
      </c>
      <c r="IJ1" s="25" t="s">
        <v>173</v>
      </c>
      <c r="IK1" s="25" t="s">
        <v>172</v>
      </c>
      <c r="IL1" s="25" t="s">
        <v>171</v>
      </c>
      <c r="IM1" s="25" t="s">
        <v>170</v>
      </c>
      <c r="IN1" s="25" t="s">
        <v>169</v>
      </c>
      <c r="IO1" s="25" t="s">
        <v>168</v>
      </c>
      <c r="IP1" s="25" t="s">
        <v>167</v>
      </c>
      <c r="IQ1" s="25" t="s">
        <v>166</v>
      </c>
      <c r="IR1" s="25" t="s">
        <v>165</v>
      </c>
      <c r="IS1" s="25" t="s">
        <v>164</v>
      </c>
      <c r="IT1" s="25" t="s">
        <v>163</v>
      </c>
      <c r="IU1" s="25" t="s">
        <v>162</v>
      </c>
      <c r="IV1" s="25" t="s">
        <v>161</v>
      </c>
      <c r="IW1" s="25" t="s">
        <v>160</v>
      </c>
      <c r="IX1" s="25" t="s">
        <v>159</v>
      </c>
      <c r="IY1" s="25" t="s">
        <v>158</v>
      </c>
      <c r="IZ1" s="25" t="s">
        <v>157</v>
      </c>
      <c r="JA1" s="25" t="s">
        <v>156</v>
      </c>
      <c r="JB1" s="25" t="s">
        <v>155</v>
      </c>
      <c r="JC1" s="25" t="s">
        <v>154</v>
      </c>
      <c r="JD1" s="25" t="s">
        <v>153</v>
      </c>
      <c r="JE1" s="25" t="s">
        <v>152</v>
      </c>
      <c r="JF1" s="25" t="s">
        <v>151</v>
      </c>
      <c r="JG1" s="25" t="s">
        <v>150</v>
      </c>
      <c r="JH1" s="25" t="s">
        <v>149</v>
      </c>
      <c r="JI1" s="25" t="s">
        <v>148</v>
      </c>
      <c r="JJ1" s="25" t="s">
        <v>147</v>
      </c>
      <c r="JK1" s="25" t="s">
        <v>146</v>
      </c>
      <c r="JL1" s="25" t="s">
        <v>145</v>
      </c>
      <c r="JM1" s="25" t="s">
        <v>144</v>
      </c>
      <c r="JN1" s="25" t="s">
        <v>143</v>
      </c>
      <c r="JO1" s="25" t="s">
        <v>142</v>
      </c>
      <c r="JP1" s="25" t="s">
        <v>141</v>
      </c>
      <c r="JQ1" s="25" t="s">
        <v>140</v>
      </c>
      <c r="JR1" s="25" t="s">
        <v>139</v>
      </c>
      <c r="JS1" s="25" t="s">
        <v>138</v>
      </c>
      <c r="JT1" s="25" t="s">
        <v>137</v>
      </c>
      <c r="JU1" s="25" t="s">
        <v>136</v>
      </c>
      <c r="JV1" s="25" t="s">
        <v>135</v>
      </c>
      <c r="JW1" s="25" t="s">
        <v>134</v>
      </c>
      <c r="JX1" s="25" t="s">
        <v>133</v>
      </c>
      <c r="JY1" s="25" t="s">
        <v>132</v>
      </c>
      <c r="JZ1" s="25" t="s">
        <v>131</v>
      </c>
      <c r="KA1" s="25" t="s">
        <v>130</v>
      </c>
      <c r="KB1" s="25" t="s">
        <v>129</v>
      </c>
      <c r="KC1" s="25" t="s">
        <v>128</v>
      </c>
      <c r="KD1" s="25" t="s">
        <v>127</v>
      </c>
      <c r="KE1" s="25" t="s">
        <v>126</v>
      </c>
      <c r="KF1" s="25" t="s">
        <v>125</v>
      </c>
      <c r="KG1" s="25" t="s">
        <v>124</v>
      </c>
      <c r="KH1" s="25" t="s">
        <v>123</v>
      </c>
      <c r="KI1" s="25" t="s">
        <v>122</v>
      </c>
      <c r="KJ1" s="25" t="s">
        <v>121</v>
      </c>
      <c r="KK1" s="25" t="s">
        <v>120</v>
      </c>
      <c r="KL1" s="25" t="s">
        <v>119</v>
      </c>
      <c r="KM1" s="25" t="s">
        <v>118</v>
      </c>
      <c r="KN1" s="25" t="s">
        <v>117</v>
      </c>
      <c r="KO1" s="25" t="s">
        <v>116</v>
      </c>
      <c r="KP1" s="25" t="s">
        <v>115</v>
      </c>
      <c r="KQ1" s="25" t="s">
        <v>114</v>
      </c>
      <c r="KR1" s="25" t="s">
        <v>113</v>
      </c>
      <c r="KS1" s="25" t="s">
        <v>112</v>
      </c>
      <c r="KT1" s="25" t="s">
        <v>111</v>
      </c>
      <c r="KU1" s="25" t="s">
        <v>110</v>
      </c>
      <c r="KV1" s="25" t="s">
        <v>109</v>
      </c>
      <c r="KW1" s="25" t="s">
        <v>108</v>
      </c>
      <c r="KX1" s="25" t="s">
        <v>107</v>
      </c>
      <c r="KY1" s="25" t="s">
        <v>106</v>
      </c>
      <c r="KZ1" s="25" t="s">
        <v>105</v>
      </c>
      <c r="LA1" s="25" t="s">
        <v>104</v>
      </c>
      <c r="LB1" s="25" t="s">
        <v>103</v>
      </c>
      <c r="LC1" s="25" t="s">
        <v>102</v>
      </c>
      <c r="LD1" s="25" t="s">
        <v>101</v>
      </c>
      <c r="LE1" s="25" t="s">
        <v>100</v>
      </c>
      <c r="LF1" s="25" t="s">
        <v>99</v>
      </c>
      <c r="LG1" s="25" t="s">
        <v>98</v>
      </c>
      <c r="LH1" s="25" t="s">
        <v>97</v>
      </c>
      <c r="LI1" s="25" t="s">
        <v>96</v>
      </c>
      <c r="LJ1" s="25" t="s">
        <v>95</v>
      </c>
      <c r="LK1" s="25" t="s">
        <v>94</v>
      </c>
      <c r="LL1" s="25" t="s">
        <v>93</v>
      </c>
      <c r="LM1" s="25" t="s">
        <v>92</v>
      </c>
      <c r="LN1" s="25" t="s">
        <v>91</v>
      </c>
      <c r="LO1" s="25" t="s">
        <v>90</v>
      </c>
      <c r="LP1" s="25" t="s">
        <v>89</v>
      </c>
      <c r="LQ1" s="25" t="s">
        <v>88</v>
      </c>
      <c r="LR1" s="25" t="s">
        <v>87</v>
      </c>
      <c r="LS1" s="25" t="s">
        <v>86</v>
      </c>
      <c r="LT1" s="25" t="s">
        <v>85</v>
      </c>
      <c r="LU1" s="25" t="s">
        <v>84</v>
      </c>
      <c r="LV1" s="25" t="s">
        <v>83</v>
      </c>
      <c r="LW1" s="25" t="s">
        <v>82</v>
      </c>
      <c r="LX1" s="25" t="s">
        <v>81</v>
      </c>
      <c r="LY1" s="25" t="s">
        <v>80</v>
      </c>
      <c r="LZ1" s="25" t="s">
        <v>79</v>
      </c>
      <c r="MA1" s="25" t="s">
        <v>78</v>
      </c>
      <c r="MB1" s="25" t="s">
        <v>77</v>
      </c>
      <c r="MC1" s="25" t="s">
        <v>76</v>
      </c>
      <c r="MD1" s="25" t="s">
        <v>75</v>
      </c>
      <c r="ME1" s="25" t="s">
        <v>74</v>
      </c>
      <c r="MF1" s="25" t="s">
        <v>73</v>
      </c>
      <c r="MG1" s="25" t="s">
        <v>72</v>
      </c>
      <c r="MH1" s="25" t="s">
        <v>71</v>
      </c>
      <c r="MI1" s="25" t="s">
        <v>70</v>
      </c>
      <c r="MJ1" s="25" t="s">
        <v>69</v>
      </c>
      <c r="MK1" s="25" t="s">
        <v>68</v>
      </c>
      <c r="ML1" s="25" t="s">
        <v>67</v>
      </c>
      <c r="MM1" s="25" t="s">
        <v>66</v>
      </c>
      <c r="MN1" s="25" t="s">
        <v>65</v>
      </c>
      <c r="MO1" s="25" t="s">
        <v>64</v>
      </c>
      <c r="MP1" s="25" t="s">
        <v>63</v>
      </c>
      <c r="MQ1" s="25" t="s">
        <v>62</v>
      </c>
      <c r="MR1" s="25" t="s">
        <v>61</v>
      </c>
      <c r="MS1" s="25" t="s">
        <v>60</v>
      </c>
      <c r="MT1" s="25" t="s">
        <v>59</v>
      </c>
      <c r="MU1" s="25" t="s">
        <v>58</v>
      </c>
      <c r="MV1" s="25" t="s">
        <v>57</v>
      </c>
      <c r="MW1" s="25" t="s">
        <v>56</v>
      </c>
      <c r="MX1" s="25" t="s">
        <v>55</v>
      </c>
      <c r="MY1" s="25" t="s">
        <v>54</v>
      </c>
      <c r="MZ1" s="25" t="s">
        <v>53</v>
      </c>
      <c r="NA1" s="25" t="s">
        <v>52</v>
      </c>
      <c r="NB1" s="25" t="s">
        <v>51</v>
      </c>
      <c r="NC1" s="25" t="s">
        <v>50</v>
      </c>
      <c r="ND1" s="25" t="s">
        <v>49</v>
      </c>
      <c r="NE1" s="25" t="s">
        <v>48</v>
      </c>
      <c r="NF1" s="25" t="s">
        <v>47</v>
      </c>
      <c r="NG1" s="25" t="s">
        <v>46</v>
      </c>
      <c r="NH1" s="25" t="s">
        <v>45</v>
      </c>
      <c r="NI1" s="25" t="s">
        <v>44</v>
      </c>
      <c r="NJ1" s="25" t="s">
        <v>43</v>
      </c>
      <c r="NK1" s="25" t="s">
        <v>42</v>
      </c>
      <c r="NL1" s="25" t="s">
        <v>41</v>
      </c>
      <c r="NM1" s="25" t="s">
        <v>40</v>
      </c>
      <c r="NN1" s="25" t="s">
        <v>39</v>
      </c>
      <c r="NO1" s="25" t="s">
        <v>38</v>
      </c>
      <c r="NP1" s="25" t="s">
        <v>37</v>
      </c>
      <c r="NQ1" s="25" t="s">
        <v>36</v>
      </c>
      <c r="NR1" s="25" t="s">
        <v>35</v>
      </c>
      <c r="NS1" s="25" t="s">
        <v>34</v>
      </c>
      <c r="NT1" s="25" t="s">
        <v>33</v>
      </c>
      <c r="NU1" s="25" t="s">
        <v>32</v>
      </c>
      <c r="NV1" s="25" t="s">
        <v>31</v>
      </c>
      <c r="NW1" s="25" t="s">
        <v>30</v>
      </c>
      <c r="NX1" s="25" t="s">
        <v>29</v>
      </c>
      <c r="NY1" s="25" t="s">
        <v>28</v>
      </c>
      <c r="NZ1" s="25" t="s">
        <v>27</v>
      </c>
      <c r="OA1" s="25" t="s">
        <v>26</v>
      </c>
    </row>
    <row r="2" spans="1:391" ht="22.8" x14ac:dyDescent="0.3">
      <c r="A2" s="26" t="s">
        <v>435</v>
      </c>
      <c r="B2" s="26" t="s">
        <v>436</v>
      </c>
      <c r="C2" s="26" t="s">
        <v>413</v>
      </c>
      <c r="D2" s="26" t="s">
        <v>414</v>
      </c>
      <c r="E2" s="27">
        <v>66.599999999999994</v>
      </c>
      <c r="F2" s="27">
        <v>66.599999999999994</v>
      </c>
      <c r="G2" s="27">
        <v>66.599999999999994</v>
      </c>
      <c r="H2" s="27">
        <v>67</v>
      </c>
      <c r="I2" s="27">
        <v>67</v>
      </c>
      <c r="J2" s="27">
        <v>67.2</v>
      </c>
      <c r="K2" s="27">
        <v>67.3</v>
      </c>
      <c r="L2" s="27">
        <v>67.8</v>
      </c>
      <c r="M2" s="27">
        <v>68.2</v>
      </c>
      <c r="N2" s="27">
        <v>68.400000000000006</v>
      </c>
      <c r="O2" s="27">
        <v>68.400000000000006</v>
      </c>
      <c r="P2" s="27">
        <v>68.400000000000006</v>
      </c>
      <c r="Q2" s="27">
        <v>68.8</v>
      </c>
      <c r="R2" s="27">
        <v>68.8</v>
      </c>
      <c r="S2" s="27">
        <v>68.8</v>
      </c>
      <c r="T2" s="27">
        <v>69.099999999999994</v>
      </c>
      <c r="U2" s="27">
        <v>69.2</v>
      </c>
      <c r="V2" s="27">
        <v>69.5</v>
      </c>
      <c r="W2" s="27">
        <v>69.8</v>
      </c>
      <c r="X2" s="27">
        <v>70</v>
      </c>
      <c r="Y2" s="27">
        <v>70</v>
      </c>
      <c r="Z2" s="27">
        <v>70.3</v>
      </c>
      <c r="AA2" s="27">
        <v>70.599999999999994</v>
      </c>
      <c r="AB2" s="27">
        <v>70.599999999999994</v>
      </c>
      <c r="AC2" s="27">
        <v>70.599999999999994</v>
      </c>
      <c r="AD2" s="27">
        <v>70.8</v>
      </c>
      <c r="AE2" s="27">
        <v>70.900000000000006</v>
      </c>
      <c r="AF2" s="27">
        <v>71</v>
      </c>
      <c r="AG2" s="27">
        <v>71.2</v>
      </c>
      <c r="AH2" s="27">
        <v>71.3</v>
      </c>
      <c r="AI2" s="27">
        <v>71.3</v>
      </c>
      <c r="AJ2" s="27">
        <v>71.400000000000006</v>
      </c>
      <c r="AK2" s="27">
        <v>71.5</v>
      </c>
      <c r="AL2" s="27">
        <v>71.599999999999994</v>
      </c>
      <c r="AM2" s="27">
        <v>71.8</v>
      </c>
      <c r="AN2" s="27">
        <v>71.900000000000006</v>
      </c>
      <c r="AO2" s="27">
        <v>72</v>
      </c>
      <c r="AP2" s="27">
        <v>72.2</v>
      </c>
      <c r="AQ2" s="27">
        <v>72.400000000000006</v>
      </c>
      <c r="AR2" s="27">
        <v>72.5</v>
      </c>
      <c r="AS2" s="27">
        <v>72.599999999999994</v>
      </c>
      <c r="AT2" s="27">
        <v>72.7</v>
      </c>
      <c r="AU2" s="27">
        <v>72.8</v>
      </c>
      <c r="AV2" s="27">
        <v>73</v>
      </c>
      <c r="AW2" s="27">
        <v>73.099999999999994</v>
      </c>
      <c r="AX2" s="27">
        <v>73.2</v>
      </c>
      <c r="AY2" s="27">
        <v>73.3</v>
      </c>
      <c r="AZ2" s="27">
        <v>73.400000000000006</v>
      </c>
      <c r="BA2" s="27">
        <v>73.400000000000006</v>
      </c>
      <c r="BB2" s="27">
        <v>73.400000000000006</v>
      </c>
      <c r="BC2" s="27">
        <v>73.400000000000006</v>
      </c>
      <c r="BD2" s="27">
        <v>73.7</v>
      </c>
      <c r="BE2" s="27">
        <v>73.8</v>
      </c>
      <c r="BF2" s="27">
        <v>73.900000000000006</v>
      </c>
      <c r="BG2" s="27">
        <v>74.099999999999994</v>
      </c>
      <c r="BH2" s="27">
        <v>74.099999999999994</v>
      </c>
      <c r="BI2" s="27">
        <v>74.2</v>
      </c>
      <c r="BJ2" s="27">
        <v>74.400000000000006</v>
      </c>
      <c r="BK2" s="27">
        <v>74.400000000000006</v>
      </c>
      <c r="BL2" s="27">
        <v>74.5</v>
      </c>
      <c r="BM2" s="27">
        <v>74.7</v>
      </c>
      <c r="BN2" s="27">
        <v>74.8</v>
      </c>
      <c r="BO2" s="27">
        <v>74.900000000000006</v>
      </c>
      <c r="BP2" s="27">
        <v>74.900000000000006</v>
      </c>
      <c r="BQ2" s="27">
        <v>75</v>
      </c>
      <c r="BR2" s="27">
        <v>75.2</v>
      </c>
      <c r="BS2" s="27">
        <v>75.2</v>
      </c>
      <c r="BT2" s="27">
        <v>75.599999999999994</v>
      </c>
      <c r="BU2" s="27">
        <v>75.7</v>
      </c>
      <c r="BV2" s="27">
        <v>75.8</v>
      </c>
      <c r="BW2" s="27">
        <v>76</v>
      </c>
      <c r="BX2" s="27">
        <v>76</v>
      </c>
      <c r="BY2" s="27">
        <v>76.2</v>
      </c>
      <c r="BZ2" s="27">
        <v>76.3</v>
      </c>
      <c r="CA2" s="27">
        <v>76.599999999999994</v>
      </c>
      <c r="CB2" s="27">
        <v>76.7</v>
      </c>
      <c r="CC2" s="27">
        <v>76.8</v>
      </c>
      <c r="CD2" s="27">
        <v>76.900000000000006</v>
      </c>
      <c r="CE2" s="27">
        <v>76.900000000000006</v>
      </c>
      <c r="CF2" s="27">
        <v>76.7</v>
      </c>
      <c r="CG2" s="27">
        <v>76.900000000000006</v>
      </c>
      <c r="CH2" s="27">
        <v>77.099999999999994</v>
      </c>
      <c r="CI2" s="27">
        <v>77.099999999999994</v>
      </c>
      <c r="CJ2" s="27">
        <v>77.3</v>
      </c>
      <c r="CK2" s="27">
        <v>77.5</v>
      </c>
      <c r="CL2" s="27">
        <v>77.5</v>
      </c>
      <c r="CM2" s="27">
        <v>77.400000000000006</v>
      </c>
      <c r="CN2" s="27">
        <v>77.400000000000006</v>
      </c>
      <c r="CO2" s="27">
        <v>77.5</v>
      </c>
      <c r="CP2" s="27">
        <v>77.599999999999994</v>
      </c>
      <c r="CQ2" s="27">
        <v>77.7</v>
      </c>
      <c r="CR2" s="27">
        <v>77.8</v>
      </c>
      <c r="CS2" s="27">
        <v>77.900000000000006</v>
      </c>
      <c r="CT2" s="27">
        <v>77.900000000000006</v>
      </c>
      <c r="CU2" s="27">
        <v>78.099999999999994</v>
      </c>
      <c r="CV2" s="27">
        <v>78.099999999999994</v>
      </c>
      <c r="CW2" s="27">
        <v>78</v>
      </c>
      <c r="CX2" s="27">
        <v>78.099999999999994</v>
      </c>
      <c r="CY2" s="27">
        <v>78.099999999999994</v>
      </c>
      <c r="CZ2" s="27">
        <v>78.2</v>
      </c>
      <c r="DA2" s="27">
        <v>78.2</v>
      </c>
      <c r="DB2" s="27">
        <v>78.3</v>
      </c>
      <c r="DC2" s="27">
        <v>78.3</v>
      </c>
      <c r="DD2" s="27">
        <v>78.3</v>
      </c>
      <c r="DE2" s="27">
        <v>78.2</v>
      </c>
      <c r="DF2" s="27">
        <v>78.2</v>
      </c>
      <c r="DG2" s="27">
        <v>78.2</v>
      </c>
      <c r="DH2" s="27">
        <v>78.3</v>
      </c>
      <c r="DI2" s="27">
        <v>78.2</v>
      </c>
      <c r="DJ2" s="27">
        <v>78.400000000000006</v>
      </c>
      <c r="DK2" s="27">
        <v>78.400000000000006</v>
      </c>
      <c r="DL2" s="27">
        <v>78.5</v>
      </c>
      <c r="DM2" s="27">
        <v>78.5</v>
      </c>
      <c r="DN2" s="27">
        <v>78.5</v>
      </c>
      <c r="DO2" s="27">
        <v>78.599999999999994</v>
      </c>
      <c r="DP2" s="27">
        <v>78.7</v>
      </c>
      <c r="DQ2" s="27">
        <v>78.8</v>
      </c>
      <c r="DR2" s="27">
        <v>78.8</v>
      </c>
      <c r="DS2" s="27">
        <v>79</v>
      </c>
      <c r="DT2" s="27">
        <v>79.2</v>
      </c>
      <c r="DU2" s="27">
        <v>79.5</v>
      </c>
      <c r="DV2" s="27">
        <v>79.5</v>
      </c>
      <c r="DW2" s="27">
        <v>79.599999999999994</v>
      </c>
      <c r="DX2" s="27">
        <v>79.400000000000006</v>
      </c>
      <c r="DY2" s="27">
        <v>79.5</v>
      </c>
      <c r="DZ2" s="27">
        <v>79.8</v>
      </c>
      <c r="EA2" s="27">
        <v>79.900000000000006</v>
      </c>
      <c r="EB2" s="27">
        <v>80</v>
      </c>
      <c r="EC2" s="27">
        <v>80.400000000000006</v>
      </c>
      <c r="ED2" s="27">
        <v>80.3</v>
      </c>
      <c r="EE2" s="27">
        <v>80.7</v>
      </c>
      <c r="EF2" s="27">
        <v>80.7</v>
      </c>
      <c r="EG2" s="27">
        <v>80.400000000000006</v>
      </c>
      <c r="EH2" s="27">
        <v>80.5</v>
      </c>
      <c r="EI2" s="27">
        <v>80.599999999999994</v>
      </c>
      <c r="EJ2" s="27">
        <v>80.900000000000006</v>
      </c>
      <c r="EK2" s="27">
        <v>81.3</v>
      </c>
      <c r="EL2" s="27">
        <v>81.400000000000006</v>
      </c>
      <c r="EM2" s="27">
        <v>81.5</v>
      </c>
      <c r="EN2" s="27">
        <v>81.5</v>
      </c>
      <c r="EO2" s="27">
        <v>81.599999999999994</v>
      </c>
      <c r="EP2" s="27">
        <v>81.7</v>
      </c>
      <c r="EQ2" s="27">
        <v>81.599999999999994</v>
      </c>
      <c r="ER2" s="27">
        <v>81.8</v>
      </c>
      <c r="ES2" s="27">
        <v>82.2</v>
      </c>
      <c r="ET2" s="27">
        <v>82.2</v>
      </c>
      <c r="EU2" s="27">
        <v>82.3</v>
      </c>
      <c r="EV2" s="27">
        <v>82.5</v>
      </c>
      <c r="EW2" s="27">
        <v>82.5</v>
      </c>
      <c r="EX2" s="27">
        <v>82.6</v>
      </c>
      <c r="EY2" s="27">
        <v>82.8</v>
      </c>
      <c r="EZ2" s="27">
        <v>83</v>
      </c>
      <c r="FA2" s="27">
        <v>83.1</v>
      </c>
      <c r="FB2" s="27">
        <v>83.2</v>
      </c>
      <c r="FC2" s="27">
        <v>83.4</v>
      </c>
      <c r="FD2" s="27">
        <v>83.6</v>
      </c>
      <c r="FE2" s="27">
        <v>83.9</v>
      </c>
      <c r="FF2" s="27">
        <v>84.3</v>
      </c>
      <c r="FG2" s="27">
        <v>84.4</v>
      </c>
      <c r="FH2" s="27">
        <v>84.2</v>
      </c>
      <c r="FI2" s="27">
        <v>84</v>
      </c>
      <c r="FJ2" s="27">
        <v>84.2</v>
      </c>
      <c r="FK2" s="27">
        <v>84.4</v>
      </c>
      <c r="FL2" s="27">
        <v>84.5</v>
      </c>
      <c r="FM2" s="27">
        <v>84.8</v>
      </c>
      <c r="FN2" s="27">
        <v>85</v>
      </c>
      <c r="FO2" s="27">
        <v>85.3</v>
      </c>
      <c r="FP2" s="27">
        <v>85.4</v>
      </c>
      <c r="FQ2" s="27">
        <v>85.5</v>
      </c>
      <c r="FR2" s="27">
        <v>85.8</v>
      </c>
      <c r="FS2" s="27">
        <v>85.9</v>
      </c>
      <c r="FT2" s="27">
        <v>85.9</v>
      </c>
      <c r="FU2" s="27">
        <v>86.2</v>
      </c>
      <c r="FV2" s="27">
        <v>86.3</v>
      </c>
      <c r="FW2" s="27">
        <v>86.4</v>
      </c>
      <c r="FX2" s="27">
        <v>86.5</v>
      </c>
      <c r="FY2" s="27">
        <v>86.6</v>
      </c>
      <c r="FZ2" s="27">
        <v>86.8</v>
      </c>
      <c r="GA2" s="27">
        <v>87</v>
      </c>
      <c r="GB2" s="27">
        <v>87.1</v>
      </c>
      <c r="GC2" s="27">
        <v>86.8</v>
      </c>
      <c r="GD2" s="27">
        <v>87.2</v>
      </c>
      <c r="GE2" s="27">
        <v>87.6</v>
      </c>
      <c r="GF2" s="27">
        <v>87.6</v>
      </c>
      <c r="GG2" s="27">
        <v>87.5</v>
      </c>
      <c r="GH2" s="27">
        <v>87.7</v>
      </c>
      <c r="GI2" s="27">
        <v>87.8</v>
      </c>
      <c r="GJ2" s="27">
        <v>88.1</v>
      </c>
      <c r="GK2" s="27">
        <v>88.5</v>
      </c>
      <c r="GL2" s="27">
        <v>88.5</v>
      </c>
      <c r="GM2" s="27">
        <v>88.4</v>
      </c>
      <c r="GN2" s="27">
        <v>88.5</v>
      </c>
      <c r="GO2" s="28">
        <v>88.68</v>
      </c>
      <c r="GP2" s="28">
        <v>88.85</v>
      </c>
      <c r="GQ2" s="28">
        <v>88.87</v>
      </c>
      <c r="GR2" s="28">
        <v>89.06</v>
      </c>
      <c r="GS2" s="28">
        <v>89.32</v>
      </c>
      <c r="GT2" s="28">
        <v>89.36</v>
      </c>
      <c r="GU2" s="28">
        <v>89.54</v>
      </c>
      <c r="GV2" s="27">
        <v>89.7</v>
      </c>
      <c r="GW2" s="28">
        <v>89.59</v>
      </c>
      <c r="GX2" s="28">
        <v>89.47</v>
      </c>
      <c r="GY2" s="28">
        <v>89.61</v>
      </c>
      <c r="GZ2" s="28">
        <v>89.78</v>
      </c>
      <c r="HA2" s="28">
        <v>89.81</v>
      </c>
      <c r="HB2" s="28">
        <v>89.79</v>
      </c>
      <c r="HC2" s="28">
        <v>89.93</v>
      </c>
      <c r="HD2" s="28">
        <v>90.18</v>
      </c>
      <c r="HE2" s="28">
        <v>90.26</v>
      </c>
      <c r="HF2" s="28">
        <v>90.39</v>
      </c>
      <c r="HG2" s="28">
        <v>90.53</v>
      </c>
      <c r="HH2" s="28">
        <v>90.74</v>
      </c>
      <c r="HI2" s="28">
        <v>90.97</v>
      </c>
      <c r="HJ2" s="27">
        <v>91.3</v>
      </c>
      <c r="HK2" s="28">
        <v>91.83</v>
      </c>
      <c r="HL2" s="28">
        <v>92.09</v>
      </c>
      <c r="HM2" s="28">
        <v>92.37</v>
      </c>
      <c r="HN2" s="28">
        <v>92.34</v>
      </c>
      <c r="HO2" s="28">
        <v>92.76</v>
      </c>
      <c r="HP2" s="28">
        <v>92.89</v>
      </c>
      <c r="HQ2" s="28">
        <v>93.25</v>
      </c>
      <c r="HR2" s="27">
        <v>93.6</v>
      </c>
      <c r="HS2" s="28">
        <v>93.81</v>
      </c>
      <c r="HT2" s="27">
        <v>93.6</v>
      </c>
      <c r="HU2" s="28">
        <v>93.71</v>
      </c>
      <c r="HV2" s="28">
        <v>93.76</v>
      </c>
      <c r="HW2" s="28">
        <v>93.34</v>
      </c>
      <c r="HX2" s="28">
        <v>93.01</v>
      </c>
      <c r="HY2" s="28">
        <v>93.03</v>
      </c>
      <c r="HZ2" s="28">
        <v>93.12</v>
      </c>
      <c r="IA2" s="28">
        <v>92.98</v>
      </c>
      <c r="IB2" s="28">
        <v>92.99</v>
      </c>
      <c r="IC2" s="28">
        <v>93.01</v>
      </c>
      <c r="ID2" s="28">
        <v>93.14</v>
      </c>
      <c r="IE2" s="28">
        <v>93.15</v>
      </c>
      <c r="IF2" s="28">
        <v>93.43</v>
      </c>
      <c r="IG2" s="28">
        <v>93.41</v>
      </c>
      <c r="IH2" s="28">
        <v>93.58</v>
      </c>
      <c r="II2" s="28">
        <v>93.73</v>
      </c>
      <c r="IJ2" s="28">
        <v>93.83</v>
      </c>
      <c r="IK2" s="28">
        <v>94.06</v>
      </c>
      <c r="IL2" s="27">
        <v>94.3</v>
      </c>
      <c r="IM2" s="28">
        <v>94.38</v>
      </c>
      <c r="IN2" s="28">
        <v>94.54</v>
      </c>
      <c r="IO2" s="28">
        <v>94.57</v>
      </c>
      <c r="IP2" s="28">
        <v>94.57</v>
      </c>
      <c r="IQ2" s="28">
        <v>94.74</v>
      </c>
      <c r="IR2" s="28">
        <v>94.72</v>
      </c>
      <c r="IS2" s="27">
        <v>94.9</v>
      </c>
      <c r="IT2" s="28">
        <v>95.06</v>
      </c>
      <c r="IU2" s="28">
        <v>95.22</v>
      </c>
      <c r="IV2" s="28">
        <v>95.47</v>
      </c>
      <c r="IW2" s="28">
        <v>95.71</v>
      </c>
      <c r="IX2" s="28">
        <v>95.86</v>
      </c>
      <c r="IY2" s="28">
        <v>96.21</v>
      </c>
      <c r="IZ2" s="27">
        <v>96.5</v>
      </c>
      <c r="JA2" s="28">
        <v>96.51</v>
      </c>
      <c r="JB2" s="28">
        <v>96.61</v>
      </c>
      <c r="JC2" s="27">
        <v>96.6</v>
      </c>
      <c r="JD2" s="28">
        <v>96.82</v>
      </c>
      <c r="JE2" s="28">
        <v>97.04</v>
      </c>
      <c r="JF2" s="28">
        <v>97.28</v>
      </c>
      <c r="JG2" s="28">
        <v>97.62</v>
      </c>
      <c r="JH2" s="28">
        <v>97.81</v>
      </c>
      <c r="JI2" s="28">
        <v>97.98</v>
      </c>
      <c r="JJ2" s="28">
        <v>98.06</v>
      </c>
      <c r="JK2" s="28">
        <v>98.39</v>
      </c>
      <c r="JL2" s="28">
        <v>98.51</v>
      </c>
      <c r="JM2" s="28">
        <v>98.43</v>
      </c>
      <c r="JN2" s="27">
        <v>98.5</v>
      </c>
      <c r="JO2" s="28">
        <v>98.47</v>
      </c>
      <c r="JP2" s="27">
        <v>98.8</v>
      </c>
      <c r="JQ2" s="28">
        <v>98.89</v>
      </c>
      <c r="JR2" s="28">
        <v>99.06</v>
      </c>
      <c r="JS2" s="27">
        <v>99</v>
      </c>
      <c r="JT2" s="27">
        <v>99.1</v>
      </c>
      <c r="JU2" s="28">
        <v>99.17</v>
      </c>
      <c r="JV2" s="28">
        <v>99.11</v>
      </c>
      <c r="JW2" s="28">
        <v>99.35</v>
      </c>
      <c r="JX2" s="28">
        <v>99.21</v>
      </c>
      <c r="JY2" s="28">
        <v>99.23</v>
      </c>
      <c r="JZ2" s="28">
        <v>99.42</v>
      </c>
      <c r="KA2" s="28">
        <v>99.51</v>
      </c>
      <c r="KB2" s="28">
        <v>99.63</v>
      </c>
      <c r="KC2" s="28">
        <v>99.76</v>
      </c>
      <c r="KD2" s="28">
        <v>99.62</v>
      </c>
      <c r="KE2" s="28">
        <v>99.71</v>
      </c>
      <c r="KF2" s="28">
        <v>99.85</v>
      </c>
      <c r="KG2" s="28">
        <v>99.82</v>
      </c>
      <c r="KH2" s="29">
        <v>100.02</v>
      </c>
      <c r="KI2" s="28">
        <v>99.93</v>
      </c>
      <c r="KJ2" s="28">
        <v>99.91</v>
      </c>
      <c r="KK2" s="28">
        <v>99.91</v>
      </c>
      <c r="KL2" s="28">
        <v>99.89</v>
      </c>
      <c r="KM2" s="28">
        <v>99.95</v>
      </c>
      <c r="KN2" s="29">
        <v>100.01</v>
      </c>
      <c r="KO2" s="28">
        <v>99.99</v>
      </c>
      <c r="KP2" s="28">
        <v>99.98</v>
      </c>
      <c r="KQ2" s="28">
        <v>99.95</v>
      </c>
      <c r="KR2" s="28">
        <v>99.85</v>
      </c>
      <c r="KS2" s="28">
        <v>99.39</v>
      </c>
      <c r="KT2" s="28">
        <v>99.88</v>
      </c>
      <c r="KU2" s="28">
        <v>99.96</v>
      </c>
      <c r="KV2" s="29">
        <v>100.07</v>
      </c>
      <c r="KW2" s="29">
        <v>100.18</v>
      </c>
      <c r="KX2" s="29">
        <v>100.15</v>
      </c>
      <c r="KY2" s="29">
        <v>100.11</v>
      </c>
      <c r="KZ2" s="29">
        <v>100.06</v>
      </c>
      <c r="LA2" s="30">
        <v>100</v>
      </c>
      <c r="LB2" s="29">
        <v>100.06</v>
      </c>
      <c r="LC2" s="29">
        <v>100.01</v>
      </c>
      <c r="LD2" s="29">
        <v>100.08</v>
      </c>
      <c r="LE2" s="27">
        <v>99.6</v>
      </c>
      <c r="LF2" s="28">
        <v>99.74</v>
      </c>
      <c r="LG2" s="28">
        <v>99.84</v>
      </c>
      <c r="LH2" s="28">
        <v>99.89</v>
      </c>
      <c r="LI2" s="29">
        <v>100.16</v>
      </c>
      <c r="LJ2" s="29">
        <v>100.33</v>
      </c>
      <c r="LK2" s="29">
        <v>100.31</v>
      </c>
      <c r="LL2" s="29">
        <v>100.28</v>
      </c>
      <c r="LM2" s="29">
        <v>100.39</v>
      </c>
      <c r="LN2" s="29">
        <v>100.43</v>
      </c>
      <c r="LO2" s="29">
        <v>100.54</v>
      </c>
      <c r="LP2" s="29">
        <v>100.71</v>
      </c>
      <c r="LQ2" s="29">
        <v>100.89</v>
      </c>
      <c r="LR2" s="29">
        <v>100.96</v>
      </c>
      <c r="LS2" s="29">
        <v>101.01</v>
      </c>
      <c r="LT2" s="29">
        <v>101.07</v>
      </c>
      <c r="LU2" s="29">
        <v>100.98</v>
      </c>
      <c r="LV2" s="29">
        <v>101.03</v>
      </c>
      <c r="LW2" s="29">
        <v>101.01</v>
      </c>
      <c r="LX2" s="29">
        <v>101.18</v>
      </c>
      <c r="LY2" s="29">
        <v>101.37</v>
      </c>
      <c r="LZ2" s="30">
        <v>101.5</v>
      </c>
      <c r="MA2" s="29">
        <v>101.71</v>
      </c>
      <c r="MB2" s="30">
        <v>101.9</v>
      </c>
      <c r="MC2" s="30">
        <v>102.2</v>
      </c>
      <c r="MD2" s="29">
        <v>102.14</v>
      </c>
      <c r="ME2" s="29">
        <v>102.59</v>
      </c>
      <c r="MF2" s="29">
        <v>102.73</v>
      </c>
      <c r="MG2" s="29">
        <v>103.06</v>
      </c>
      <c r="MH2" s="30">
        <v>103.1</v>
      </c>
      <c r="MI2" s="29">
        <v>103.31</v>
      </c>
      <c r="MJ2" s="29">
        <v>103.45</v>
      </c>
      <c r="MK2" s="29">
        <v>103.62</v>
      </c>
      <c r="ML2" s="29">
        <v>103.76</v>
      </c>
      <c r="MM2" s="30">
        <v>103.6</v>
      </c>
      <c r="MN2" s="29">
        <v>103.51</v>
      </c>
      <c r="MO2" s="29">
        <v>103.41</v>
      </c>
      <c r="MP2" s="29">
        <v>103.45</v>
      </c>
      <c r="MQ2" s="29">
        <v>103.74</v>
      </c>
      <c r="MR2" s="29">
        <v>104.06</v>
      </c>
      <c r="MS2" s="29">
        <v>104.07</v>
      </c>
      <c r="MT2" s="29">
        <v>104.34</v>
      </c>
      <c r="MU2" s="30">
        <v>104.4</v>
      </c>
      <c r="MV2" s="29">
        <v>104.53</v>
      </c>
      <c r="MW2" s="29">
        <v>104.61</v>
      </c>
      <c r="MX2" s="29">
        <v>104.59</v>
      </c>
      <c r="MY2" s="29">
        <v>104.68</v>
      </c>
      <c r="MZ2" s="29">
        <v>105.05</v>
      </c>
      <c r="NA2" s="29">
        <v>104.88</v>
      </c>
      <c r="NB2" s="29">
        <v>104.85</v>
      </c>
      <c r="NC2" s="29">
        <v>104.41</v>
      </c>
      <c r="ND2" s="29">
        <v>104.39</v>
      </c>
      <c r="NE2" s="29">
        <v>104.48</v>
      </c>
      <c r="NF2" s="29">
        <v>104.58</v>
      </c>
      <c r="NG2" s="29">
        <v>105.19</v>
      </c>
      <c r="NH2" s="29">
        <v>104.73</v>
      </c>
      <c r="NI2" s="29">
        <v>104.64</v>
      </c>
      <c r="NJ2" s="30">
        <v>104.6</v>
      </c>
      <c r="NK2" s="29">
        <v>104.78</v>
      </c>
      <c r="NL2" s="29">
        <v>104.91</v>
      </c>
      <c r="NM2" s="29">
        <v>105.45</v>
      </c>
      <c r="NN2" s="29">
        <v>105.44</v>
      </c>
      <c r="NO2" s="29">
        <v>105.58</v>
      </c>
      <c r="NP2" s="29">
        <v>105.75</v>
      </c>
      <c r="NQ2" s="29">
        <v>105.98</v>
      </c>
      <c r="NR2" s="29">
        <v>106.18</v>
      </c>
      <c r="NS2" s="29">
        <v>106.52</v>
      </c>
      <c r="NT2" s="29">
        <v>106.86</v>
      </c>
      <c r="NU2" s="29">
        <v>106.85</v>
      </c>
      <c r="NV2" s="29">
        <v>107.33</v>
      </c>
      <c r="NW2" s="30">
        <v>107.6</v>
      </c>
      <c r="NX2" s="30">
        <v>107.8</v>
      </c>
      <c r="NY2" s="29">
        <v>108.49</v>
      </c>
      <c r="NZ2" s="29">
        <v>109.29</v>
      </c>
      <c r="OA2" s="29">
        <v>110.35</v>
      </c>
    </row>
    <row r="3" spans="1:391" ht="22.8" x14ac:dyDescent="0.3">
      <c r="A3" s="26" t="s">
        <v>437</v>
      </c>
      <c r="B3" s="26" t="s">
        <v>438</v>
      </c>
      <c r="C3" s="26" t="s">
        <v>413</v>
      </c>
      <c r="D3" s="26" t="s">
        <v>414</v>
      </c>
      <c r="E3" s="28">
        <v>67.84</v>
      </c>
      <c r="F3" s="28">
        <v>68.03</v>
      </c>
      <c r="G3" s="28">
        <v>68.23</v>
      </c>
      <c r="H3" s="28">
        <v>68.66</v>
      </c>
      <c r="I3" s="28">
        <v>68.78</v>
      </c>
      <c r="J3" s="27">
        <v>68.8</v>
      </c>
      <c r="K3" s="28">
        <v>68.819999999999993</v>
      </c>
      <c r="L3" s="28">
        <v>69.010000000000005</v>
      </c>
      <c r="M3" s="27">
        <v>69.2</v>
      </c>
      <c r="N3" s="28">
        <v>69.38</v>
      </c>
      <c r="O3" s="28">
        <v>69.459999999999994</v>
      </c>
      <c r="P3" s="28">
        <v>69.540000000000006</v>
      </c>
      <c r="Q3" s="28">
        <v>69.95</v>
      </c>
      <c r="R3" s="28">
        <v>70.180000000000007</v>
      </c>
      <c r="S3" s="28">
        <v>70.44</v>
      </c>
      <c r="T3" s="28">
        <v>70.709999999999994</v>
      </c>
      <c r="U3" s="28">
        <v>70.92</v>
      </c>
      <c r="V3" s="28">
        <v>71.08</v>
      </c>
      <c r="W3" s="28">
        <v>71.260000000000005</v>
      </c>
      <c r="X3" s="28">
        <v>71.31</v>
      </c>
      <c r="Y3" s="28">
        <v>71.42</v>
      </c>
      <c r="Z3" s="28">
        <v>71.819999999999993</v>
      </c>
      <c r="AA3" s="28">
        <v>72.08</v>
      </c>
      <c r="AB3" s="28">
        <v>71.89</v>
      </c>
      <c r="AC3" s="27">
        <v>72.099999999999994</v>
      </c>
      <c r="AD3" s="28">
        <v>72.430000000000007</v>
      </c>
      <c r="AE3" s="28">
        <v>72.69</v>
      </c>
      <c r="AF3" s="28">
        <v>72.87</v>
      </c>
      <c r="AG3" s="28">
        <v>73.12</v>
      </c>
      <c r="AH3" s="28">
        <v>73.06</v>
      </c>
      <c r="AI3" s="28">
        <v>73.03</v>
      </c>
      <c r="AJ3" s="27">
        <v>73</v>
      </c>
      <c r="AK3" s="28">
        <v>73.27</v>
      </c>
      <c r="AL3" s="28">
        <v>73.47</v>
      </c>
      <c r="AM3" s="28">
        <v>73.53</v>
      </c>
      <c r="AN3" s="27">
        <v>73.5</v>
      </c>
      <c r="AO3" s="28">
        <v>73.81</v>
      </c>
      <c r="AP3" s="28">
        <v>74.06</v>
      </c>
      <c r="AQ3" s="28">
        <v>74.44</v>
      </c>
      <c r="AR3" s="28">
        <v>74.52</v>
      </c>
      <c r="AS3" s="28">
        <v>74.64</v>
      </c>
      <c r="AT3" s="28">
        <v>74.61</v>
      </c>
      <c r="AU3" s="28">
        <v>74.55</v>
      </c>
      <c r="AV3" s="28">
        <v>74.48</v>
      </c>
      <c r="AW3" s="28">
        <v>74.73</v>
      </c>
      <c r="AX3" s="28">
        <v>74.88</v>
      </c>
      <c r="AY3" s="28">
        <v>74.94</v>
      </c>
      <c r="AZ3" s="28">
        <v>74.94</v>
      </c>
      <c r="BA3" s="28">
        <v>75.040000000000006</v>
      </c>
      <c r="BB3" s="28">
        <v>75.260000000000005</v>
      </c>
      <c r="BC3" s="28">
        <v>75.459999999999994</v>
      </c>
      <c r="BD3" s="28">
        <v>75.67</v>
      </c>
      <c r="BE3" s="28">
        <v>75.849999999999994</v>
      </c>
      <c r="BF3" s="28">
        <v>75.819999999999993</v>
      </c>
      <c r="BG3" s="28">
        <v>75.819999999999993</v>
      </c>
      <c r="BH3" s="28">
        <v>75.78</v>
      </c>
      <c r="BI3" s="28">
        <v>76.06</v>
      </c>
      <c r="BJ3" s="28">
        <v>76.25</v>
      </c>
      <c r="BK3" s="28">
        <v>76.260000000000005</v>
      </c>
      <c r="BL3" s="28">
        <v>76.239999999999995</v>
      </c>
      <c r="BM3" s="28">
        <v>76.37</v>
      </c>
      <c r="BN3" s="28">
        <v>76.59</v>
      </c>
      <c r="BO3" s="28">
        <v>76.86</v>
      </c>
      <c r="BP3" s="28">
        <v>76.959999999999994</v>
      </c>
      <c r="BQ3" s="28">
        <v>77.06</v>
      </c>
      <c r="BR3" s="28">
        <v>77.06</v>
      </c>
      <c r="BS3" s="28">
        <v>76.95</v>
      </c>
      <c r="BT3" s="28">
        <v>77.260000000000005</v>
      </c>
      <c r="BU3" s="28">
        <v>77.53</v>
      </c>
      <c r="BV3" s="28">
        <v>77.62</v>
      </c>
      <c r="BW3" s="28">
        <v>77.69</v>
      </c>
      <c r="BX3" s="28">
        <v>77.73</v>
      </c>
      <c r="BY3" s="28">
        <v>77.739999999999995</v>
      </c>
      <c r="BZ3" s="28">
        <v>78.02</v>
      </c>
      <c r="CA3" s="28">
        <v>78.52</v>
      </c>
      <c r="CB3" s="28">
        <v>78.56</v>
      </c>
      <c r="CC3" s="28">
        <v>78.72</v>
      </c>
      <c r="CD3" s="28">
        <v>78.680000000000007</v>
      </c>
      <c r="CE3" s="28">
        <v>78.53</v>
      </c>
      <c r="CF3" s="28">
        <v>78.36</v>
      </c>
      <c r="CG3" s="28">
        <v>78.53</v>
      </c>
      <c r="CH3" s="28">
        <v>78.63</v>
      </c>
      <c r="CI3" s="28">
        <v>78.53</v>
      </c>
      <c r="CJ3" s="28">
        <v>78.680000000000007</v>
      </c>
      <c r="CK3" s="28">
        <v>78.81</v>
      </c>
      <c r="CL3" s="28">
        <v>78.989999999999995</v>
      </c>
      <c r="CM3" s="28">
        <v>79.12</v>
      </c>
      <c r="CN3" s="28">
        <v>79.209999999999994</v>
      </c>
      <c r="CO3" s="28">
        <v>79.36</v>
      </c>
      <c r="CP3" s="28">
        <v>79.37</v>
      </c>
      <c r="CQ3" s="28">
        <v>79.28</v>
      </c>
      <c r="CR3" s="28">
        <v>79.42</v>
      </c>
      <c r="CS3" s="28">
        <v>79.58</v>
      </c>
      <c r="CT3" s="28">
        <v>79.52</v>
      </c>
      <c r="CU3" s="28">
        <v>79.62</v>
      </c>
      <c r="CV3" s="28">
        <v>79.67</v>
      </c>
      <c r="CW3" s="28">
        <v>79.44</v>
      </c>
      <c r="CX3" s="28">
        <v>79.78</v>
      </c>
      <c r="CY3" s="28">
        <v>79.989999999999995</v>
      </c>
      <c r="CZ3" s="28">
        <v>80.17</v>
      </c>
      <c r="DA3" s="28">
        <v>80.28</v>
      </c>
      <c r="DB3" s="27">
        <v>80.400000000000006</v>
      </c>
      <c r="DC3" s="28">
        <v>80.14</v>
      </c>
      <c r="DD3" s="28">
        <v>80.23</v>
      </c>
      <c r="DE3" s="28">
        <v>80.209999999999994</v>
      </c>
      <c r="DF3" s="28">
        <v>80.14</v>
      </c>
      <c r="DG3" s="28">
        <v>80.12</v>
      </c>
      <c r="DH3" s="28">
        <v>80.239999999999995</v>
      </c>
      <c r="DI3" s="28">
        <v>80.05</v>
      </c>
      <c r="DJ3" s="28">
        <v>80.319999999999993</v>
      </c>
      <c r="DK3" s="28">
        <v>80.569999999999993</v>
      </c>
      <c r="DL3" s="28">
        <v>80.709999999999994</v>
      </c>
      <c r="DM3" s="28">
        <v>80.75</v>
      </c>
      <c r="DN3" s="28">
        <v>80.760000000000005</v>
      </c>
      <c r="DO3" s="28">
        <v>80.44</v>
      </c>
      <c r="DP3" s="28">
        <v>80.48</v>
      </c>
      <c r="DQ3" s="28">
        <v>80.540000000000006</v>
      </c>
      <c r="DR3" s="28">
        <v>80.55</v>
      </c>
      <c r="DS3" s="28">
        <v>80.55</v>
      </c>
      <c r="DT3" s="28">
        <v>80.709999999999994</v>
      </c>
      <c r="DU3" s="28">
        <v>80.64</v>
      </c>
      <c r="DV3" s="28">
        <v>80.69</v>
      </c>
      <c r="DW3" s="28">
        <v>80.98</v>
      </c>
      <c r="DX3" s="28">
        <v>81.06</v>
      </c>
      <c r="DY3" s="28">
        <v>81.16</v>
      </c>
      <c r="DZ3" s="28">
        <v>81.260000000000005</v>
      </c>
      <c r="EA3" s="28">
        <v>81.08</v>
      </c>
      <c r="EB3" s="28">
        <v>81.25</v>
      </c>
      <c r="EC3" s="28">
        <v>81.37</v>
      </c>
      <c r="ED3" s="28">
        <v>81.44</v>
      </c>
      <c r="EE3" s="28">
        <v>81.53</v>
      </c>
      <c r="EF3" s="28">
        <v>81.63</v>
      </c>
      <c r="EG3" s="27">
        <v>81.599999999999994</v>
      </c>
      <c r="EH3" s="28">
        <v>81.790000000000006</v>
      </c>
      <c r="EI3" s="27">
        <v>82.2</v>
      </c>
      <c r="EJ3" s="28">
        <v>82.56</v>
      </c>
      <c r="EK3" s="27">
        <v>82.9</v>
      </c>
      <c r="EL3" s="28">
        <v>82.96</v>
      </c>
      <c r="EM3" s="28">
        <v>82.91</v>
      </c>
      <c r="EN3" s="28">
        <v>83.02</v>
      </c>
      <c r="EO3" s="28">
        <v>83.12</v>
      </c>
      <c r="EP3" s="28">
        <v>83.27</v>
      </c>
      <c r="EQ3" s="28">
        <v>83.13</v>
      </c>
      <c r="ER3" s="28">
        <v>83.36</v>
      </c>
      <c r="ES3" s="28">
        <v>83.78</v>
      </c>
      <c r="ET3" s="28">
        <v>83.89</v>
      </c>
      <c r="EU3" s="28">
        <v>84.22</v>
      </c>
      <c r="EV3" s="28">
        <v>84.42</v>
      </c>
      <c r="EW3" s="28">
        <v>84.56</v>
      </c>
      <c r="EX3" s="28">
        <v>84.63</v>
      </c>
      <c r="EY3" s="28">
        <v>84.66</v>
      </c>
      <c r="EZ3" s="28">
        <v>84.78</v>
      </c>
      <c r="FA3" s="28">
        <v>84.86</v>
      </c>
      <c r="FB3" s="28">
        <v>84.94</v>
      </c>
      <c r="FC3" s="28">
        <v>85.01</v>
      </c>
      <c r="FD3" s="28">
        <v>85.15</v>
      </c>
      <c r="FE3" s="28">
        <v>85.18</v>
      </c>
      <c r="FF3" s="28">
        <v>85.68</v>
      </c>
      <c r="FG3" s="28">
        <v>85.94</v>
      </c>
      <c r="FH3" s="27">
        <v>86.1</v>
      </c>
      <c r="FI3" s="28">
        <v>86.18</v>
      </c>
      <c r="FJ3" s="28">
        <v>86.39</v>
      </c>
      <c r="FK3" s="28">
        <v>86.22</v>
      </c>
      <c r="FL3" s="28">
        <v>86.39</v>
      </c>
      <c r="FM3" s="28">
        <v>86.72</v>
      </c>
      <c r="FN3" s="28">
        <v>86.92</v>
      </c>
      <c r="FO3" s="28">
        <v>87.05</v>
      </c>
      <c r="FP3" s="28">
        <v>87.16</v>
      </c>
      <c r="FQ3" s="28">
        <v>87.09</v>
      </c>
      <c r="FR3" s="28">
        <v>87.52</v>
      </c>
      <c r="FS3" s="28">
        <v>87.77</v>
      </c>
      <c r="FT3" s="28">
        <v>87.97</v>
      </c>
      <c r="FU3" s="28">
        <v>88.11</v>
      </c>
      <c r="FV3" s="28">
        <v>88.23</v>
      </c>
      <c r="FW3" s="28">
        <v>88.06</v>
      </c>
      <c r="FX3" s="28">
        <v>88.12</v>
      </c>
      <c r="FY3" s="28">
        <v>88.19</v>
      </c>
      <c r="FZ3" s="28">
        <v>88.22</v>
      </c>
      <c r="GA3" s="28">
        <v>88.25</v>
      </c>
      <c r="GB3" s="28">
        <v>88.44</v>
      </c>
      <c r="GC3" s="28">
        <v>88.05</v>
      </c>
      <c r="GD3" s="28">
        <v>88.52</v>
      </c>
      <c r="GE3" s="28">
        <v>88.94</v>
      </c>
      <c r="GF3" s="28">
        <v>88.98</v>
      </c>
      <c r="GG3" s="28">
        <v>89.15</v>
      </c>
      <c r="GH3" s="28">
        <v>89.12</v>
      </c>
      <c r="GI3" s="28">
        <v>88.76</v>
      </c>
      <c r="GJ3" s="28">
        <v>89.03</v>
      </c>
      <c r="GK3" s="28">
        <v>89.13</v>
      </c>
      <c r="GL3" s="28">
        <v>89.09</v>
      </c>
      <c r="GM3" s="28">
        <v>89.13</v>
      </c>
      <c r="GN3" s="28">
        <v>89.37</v>
      </c>
      <c r="GO3" s="28">
        <v>89.14</v>
      </c>
      <c r="GP3" s="28">
        <v>89.47</v>
      </c>
      <c r="GQ3" s="28">
        <v>89.71</v>
      </c>
      <c r="GR3" s="28">
        <v>89.93</v>
      </c>
      <c r="GS3" s="28">
        <v>90.18</v>
      </c>
      <c r="GT3" s="28">
        <v>90.23</v>
      </c>
      <c r="GU3" s="27">
        <v>90</v>
      </c>
      <c r="GV3" s="28">
        <v>90.28</v>
      </c>
      <c r="GW3" s="28">
        <v>90.28</v>
      </c>
      <c r="GX3" s="28">
        <v>90.31</v>
      </c>
      <c r="GY3" s="28">
        <v>90.47</v>
      </c>
      <c r="GZ3" s="28">
        <v>90.68</v>
      </c>
      <c r="HA3" s="27">
        <v>90.4</v>
      </c>
      <c r="HB3" s="28">
        <v>90.57</v>
      </c>
      <c r="HC3" s="28">
        <v>90.87</v>
      </c>
      <c r="HD3" s="28">
        <v>91.22</v>
      </c>
      <c r="HE3" s="28">
        <v>91.37</v>
      </c>
      <c r="HF3" s="28">
        <v>91.46</v>
      </c>
      <c r="HG3" s="28">
        <v>91.17</v>
      </c>
      <c r="HH3" s="28">
        <v>91.61</v>
      </c>
      <c r="HI3" s="28">
        <v>91.67</v>
      </c>
      <c r="HJ3" s="28">
        <v>91.87</v>
      </c>
      <c r="HK3" s="28">
        <v>92.07</v>
      </c>
      <c r="HL3" s="28">
        <v>92.41</v>
      </c>
      <c r="HM3" s="28">
        <v>92.23</v>
      </c>
      <c r="HN3" s="28">
        <v>92.48</v>
      </c>
      <c r="HO3" s="28">
        <v>93.02</v>
      </c>
      <c r="HP3" s="28">
        <v>93.28</v>
      </c>
      <c r="HQ3" s="28">
        <v>93.48</v>
      </c>
      <c r="HR3" s="28">
        <v>93.56</v>
      </c>
      <c r="HS3" s="28">
        <v>93.32</v>
      </c>
      <c r="HT3" s="28">
        <v>93.57</v>
      </c>
      <c r="HU3" s="28">
        <v>93.54</v>
      </c>
      <c r="HV3" s="27">
        <v>93.8</v>
      </c>
      <c r="HW3" s="28">
        <v>93.77</v>
      </c>
      <c r="HX3" s="28">
        <v>93.96</v>
      </c>
      <c r="HY3" s="27">
        <v>93.7</v>
      </c>
      <c r="HZ3" s="28">
        <v>94.05</v>
      </c>
      <c r="IA3" s="28">
        <v>94.38</v>
      </c>
      <c r="IB3" s="28">
        <v>94.54</v>
      </c>
      <c r="IC3" s="28">
        <v>94.68</v>
      </c>
      <c r="ID3" s="28">
        <v>94.59</v>
      </c>
      <c r="IE3" s="28">
        <v>94.21</v>
      </c>
      <c r="IF3" s="28">
        <v>94.59</v>
      </c>
      <c r="IG3" s="28">
        <v>94.39</v>
      </c>
      <c r="IH3" s="28">
        <v>94.51</v>
      </c>
      <c r="II3" s="27">
        <v>94.5</v>
      </c>
      <c r="IJ3" s="28">
        <v>94.81</v>
      </c>
      <c r="IK3" s="28">
        <v>94.38</v>
      </c>
      <c r="IL3" s="28">
        <v>94.95</v>
      </c>
      <c r="IM3" s="28">
        <v>95.29</v>
      </c>
      <c r="IN3" s="28">
        <v>95.35</v>
      </c>
      <c r="IO3" s="28">
        <v>95.39</v>
      </c>
      <c r="IP3" s="28">
        <v>95.43</v>
      </c>
      <c r="IQ3" s="28">
        <v>95.14</v>
      </c>
      <c r="IR3" s="28">
        <v>95.38</v>
      </c>
      <c r="IS3" s="28">
        <v>95.26</v>
      </c>
      <c r="IT3" s="28">
        <v>95.32</v>
      </c>
      <c r="IU3" s="28">
        <v>95.36</v>
      </c>
      <c r="IV3" s="28">
        <v>95.67</v>
      </c>
      <c r="IW3" s="28">
        <v>95.12</v>
      </c>
      <c r="IX3" s="28">
        <v>95.51</v>
      </c>
      <c r="IY3" s="28">
        <v>96.15</v>
      </c>
      <c r="IZ3" s="28">
        <v>96.39</v>
      </c>
      <c r="JA3" s="28">
        <v>96.57</v>
      </c>
      <c r="JB3" s="28">
        <v>96.69</v>
      </c>
      <c r="JC3" s="28">
        <v>96.23</v>
      </c>
      <c r="JD3" s="28">
        <v>96.74</v>
      </c>
      <c r="JE3" s="28">
        <v>96.59</v>
      </c>
      <c r="JF3" s="28">
        <v>96.84</v>
      </c>
      <c r="JG3" s="28">
        <v>97.02</v>
      </c>
      <c r="JH3" s="28">
        <v>97.45</v>
      </c>
      <c r="JI3" s="28">
        <v>96.86</v>
      </c>
      <c r="JJ3" s="27">
        <v>97.2</v>
      </c>
      <c r="JK3" s="28">
        <v>97.98</v>
      </c>
      <c r="JL3" s="28">
        <v>98.11</v>
      </c>
      <c r="JM3" s="27">
        <v>98.2</v>
      </c>
      <c r="JN3" s="28">
        <v>98.44</v>
      </c>
      <c r="JO3" s="28">
        <v>97.95</v>
      </c>
      <c r="JP3" s="28">
        <v>98.32</v>
      </c>
      <c r="JQ3" s="28">
        <v>98.08</v>
      </c>
      <c r="JR3" s="28">
        <v>98.33</v>
      </c>
      <c r="JS3" s="28">
        <v>98.28</v>
      </c>
      <c r="JT3" s="28">
        <v>98.64</v>
      </c>
      <c r="JU3" s="28">
        <v>97.93</v>
      </c>
      <c r="JV3" s="28">
        <v>98.11</v>
      </c>
      <c r="JW3" s="28">
        <v>98.94</v>
      </c>
      <c r="JX3" s="28">
        <v>98.88</v>
      </c>
      <c r="JY3" s="27">
        <v>99.1</v>
      </c>
      <c r="JZ3" s="28">
        <v>99.27</v>
      </c>
      <c r="KA3" s="28">
        <v>98.92</v>
      </c>
      <c r="KB3" s="27">
        <v>99.3</v>
      </c>
      <c r="KC3" s="28">
        <v>98.97</v>
      </c>
      <c r="KD3" s="28">
        <v>98.99</v>
      </c>
      <c r="KE3" s="28">
        <v>98.99</v>
      </c>
      <c r="KF3" s="27">
        <v>99.3</v>
      </c>
      <c r="KG3" s="28">
        <v>98.61</v>
      </c>
      <c r="KH3" s="27">
        <v>99.2</v>
      </c>
      <c r="KI3" s="28">
        <v>99.74</v>
      </c>
      <c r="KJ3" s="28">
        <v>99.71</v>
      </c>
      <c r="KK3" s="28">
        <v>99.75</v>
      </c>
      <c r="KL3" s="28">
        <v>99.71</v>
      </c>
      <c r="KM3" s="28">
        <v>99.36</v>
      </c>
      <c r="KN3" s="28">
        <v>99.91</v>
      </c>
      <c r="KO3" s="28">
        <v>99.51</v>
      </c>
      <c r="KP3" s="28">
        <v>99.58</v>
      </c>
      <c r="KQ3" s="28">
        <v>99.45</v>
      </c>
      <c r="KR3" s="28">
        <v>99.77</v>
      </c>
      <c r="KS3" s="28">
        <v>98.87</v>
      </c>
      <c r="KT3" s="28">
        <v>99.39</v>
      </c>
      <c r="KU3" s="29">
        <v>100.02</v>
      </c>
      <c r="KV3" s="29">
        <v>100.12</v>
      </c>
      <c r="KW3" s="30">
        <v>100.3</v>
      </c>
      <c r="KX3" s="29">
        <v>100.26</v>
      </c>
      <c r="KY3" s="28">
        <v>99.91</v>
      </c>
      <c r="KZ3" s="29">
        <v>100.43</v>
      </c>
      <c r="LA3" s="29">
        <v>100.08</v>
      </c>
      <c r="LB3" s="30">
        <v>100.2</v>
      </c>
      <c r="LC3" s="29">
        <v>100.03</v>
      </c>
      <c r="LD3" s="29">
        <v>100.38</v>
      </c>
      <c r="LE3" s="28">
        <v>99.44</v>
      </c>
      <c r="LF3" s="28">
        <v>99.79</v>
      </c>
      <c r="LG3" s="29">
        <v>100.47</v>
      </c>
      <c r="LH3" s="29">
        <v>100.52</v>
      </c>
      <c r="LI3" s="29">
        <v>100.79</v>
      </c>
      <c r="LJ3" s="29">
        <v>100.74</v>
      </c>
      <c r="LK3" s="29">
        <v>100.45</v>
      </c>
      <c r="LL3" s="29">
        <v>100.94</v>
      </c>
      <c r="LM3" s="29">
        <v>100.61</v>
      </c>
      <c r="LN3" s="29">
        <v>100.53</v>
      </c>
      <c r="LO3" s="29">
        <v>100.44</v>
      </c>
      <c r="LP3" s="29">
        <v>100.69</v>
      </c>
      <c r="LQ3" s="29">
        <v>100.05</v>
      </c>
      <c r="LR3" s="29">
        <v>100.18</v>
      </c>
      <c r="LS3" s="29">
        <v>100.93</v>
      </c>
      <c r="LT3" s="29">
        <v>101.05</v>
      </c>
      <c r="LU3" s="29">
        <v>101.23</v>
      </c>
      <c r="LV3" s="29">
        <v>101.33</v>
      </c>
      <c r="LW3" s="29">
        <v>101.05</v>
      </c>
      <c r="LX3" s="29">
        <v>101.52</v>
      </c>
      <c r="LY3" s="29">
        <v>101.26</v>
      </c>
      <c r="LZ3" s="29">
        <v>101.28</v>
      </c>
      <c r="MA3" s="29">
        <v>101.27</v>
      </c>
      <c r="MB3" s="29">
        <v>101.57</v>
      </c>
      <c r="MC3" s="29">
        <v>101.06</v>
      </c>
      <c r="MD3" s="29">
        <v>101.03</v>
      </c>
      <c r="ME3" s="30">
        <v>102.2</v>
      </c>
      <c r="MF3" s="30">
        <v>102.3</v>
      </c>
      <c r="MG3" s="30">
        <v>102.6</v>
      </c>
      <c r="MH3" s="29">
        <v>102.54</v>
      </c>
      <c r="MI3" s="29">
        <v>102.39</v>
      </c>
      <c r="MJ3" s="29">
        <v>102.93</v>
      </c>
      <c r="MK3" s="29">
        <v>102.61</v>
      </c>
      <c r="ML3" s="29">
        <v>102.56</v>
      </c>
      <c r="MM3" s="29">
        <v>102.39</v>
      </c>
      <c r="MN3" s="29">
        <v>102.63</v>
      </c>
      <c r="MO3" s="29">
        <v>102.25</v>
      </c>
      <c r="MP3" s="29">
        <v>102.19</v>
      </c>
      <c r="MQ3" s="29">
        <v>102.98</v>
      </c>
      <c r="MR3" s="29">
        <v>103.29</v>
      </c>
      <c r="MS3" s="29">
        <v>103.34</v>
      </c>
      <c r="MT3" s="29">
        <v>103.63</v>
      </c>
      <c r="MU3" s="29">
        <v>103.51</v>
      </c>
      <c r="MV3" s="29">
        <v>104.03</v>
      </c>
      <c r="MW3" s="29">
        <v>103.61</v>
      </c>
      <c r="MX3" s="29">
        <v>103.56</v>
      </c>
      <c r="MY3" s="29">
        <v>103.61</v>
      </c>
      <c r="MZ3" s="29">
        <v>104.03</v>
      </c>
      <c r="NA3" s="29">
        <v>103.51</v>
      </c>
      <c r="NB3" s="29">
        <v>103.68</v>
      </c>
      <c r="NC3" s="30">
        <v>104.1</v>
      </c>
      <c r="ND3" s="29">
        <v>104.42</v>
      </c>
      <c r="NE3" s="29">
        <v>104.76</v>
      </c>
      <c r="NF3" s="30">
        <v>104.7</v>
      </c>
      <c r="NG3" s="29">
        <v>105.04</v>
      </c>
      <c r="NH3" s="29">
        <v>104.92</v>
      </c>
      <c r="NI3" s="29">
        <v>104.39</v>
      </c>
      <c r="NJ3" s="29">
        <v>104.33</v>
      </c>
      <c r="NK3" s="29">
        <v>104.54</v>
      </c>
      <c r="NL3" s="29">
        <v>104.64</v>
      </c>
      <c r="NM3" s="29">
        <v>104.67</v>
      </c>
      <c r="NN3" s="29">
        <v>104.45</v>
      </c>
      <c r="NO3" s="29">
        <v>104.95</v>
      </c>
      <c r="NP3" s="30">
        <v>105.1</v>
      </c>
      <c r="NQ3" s="29">
        <v>105.41</v>
      </c>
      <c r="NR3" s="29">
        <v>105.47</v>
      </c>
      <c r="NS3" s="29">
        <v>105.33</v>
      </c>
      <c r="NT3" s="29">
        <v>105.97</v>
      </c>
      <c r="NU3" s="29">
        <v>105.59</v>
      </c>
      <c r="NV3" s="29">
        <v>105.61</v>
      </c>
      <c r="NW3" s="29">
        <v>105.88</v>
      </c>
      <c r="NX3" s="30">
        <v>106.2</v>
      </c>
      <c r="NY3" s="29">
        <v>106.19</v>
      </c>
      <c r="NZ3" s="30">
        <v>106.7</v>
      </c>
      <c r="OA3" s="29">
        <v>107.38</v>
      </c>
    </row>
    <row r="4" spans="1:391" ht="22.8" x14ac:dyDescent="0.3">
      <c r="A4" s="26" t="s">
        <v>439</v>
      </c>
      <c r="B4" s="26" t="s">
        <v>440</v>
      </c>
      <c r="C4" s="26" t="s">
        <v>413</v>
      </c>
      <c r="D4" s="26" t="s">
        <v>414</v>
      </c>
      <c r="E4" s="28">
        <v>68.09</v>
      </c>
      <c r="F4" s="28">
        <v>68.23</v>
      </c>
      <c r="G4" s="27">
        <v>68.400000000000006</v>
      </c>
      <c r="H4" s="28">
        <v>68.78</v>
      </c>
      <c r="I4" s="28">
        <v>68.89</v>
      </c>
      <c r="J4" s="28">
        <v>68.88</v>
      </c>
      <c r="K4" s="27">
        <v>68.900000000000006</v>
      </c>
      <c r="L4" s="28">
        <v>69.36</v>
      </c>
      <c r="M4" s="28">
        <v>69.86</v>
      </c>
      <c r="N4" s="28">
        <v>70.17</v>
      </c>
      <c r="O4" s="28">
        <v>70.05</v>
      </c>
      <c r="P4" s="27">
        <v>70</v>
      </c>
      <c r="Q4" s="28">
        <v>70.39</v>
      </c>
      <c r="R4" s="28">
        <v>70.58</v>
      </c>
      <c r="S4" s="28">
        <v>70.72</v>
      </c>
      <c r="T4" s="28">
        <v>70.94</v>
      </c>
      <c r="U4" s="28">
        <v>71.17</v>
      </c>
      <c r="V4" s="28">
        <v>71.34</v>
      </c>
      <c r="W4" s="28">
        <v>71.53</v>
      </c>
      <c r="X4" s="28">
        <v>71.62</v>
      </c>
      <c r="Y4" s="28">
        <v>71.73</v>
      </c>
      <c r="Z4" s="28">
        <v>72.06</v>
      </c>
      <c r="AA4" s="28">
        <v>72.33</v>
      </c>
      <c r="AB4" s="27">
        <v>72.099999999999994</v>
      </c>
      <c r="AC4" s="28">
        <v>72.22</v>
      </c>
      <c r="AD4" s="28">
        <v>72.53</v>
      </c>
      <c r="AE4" s="28">
        <v>72.77</v>
      </c>
      <c r="AF4" s="28">
        <v>72.91</v>
      </c>
      <c r="AG4" s="28">
        <v>73.069999999999993</v>
      </c>
      <c r="AH4" s="28">
        <v>73.02</v>
      </c>
      <c r="AI4" s="28">
        <v>72.989999999999995</v>
      </c>
      <c r="AJ4" s="28">
        <v>72.94</v>
      </c>
      <c r="AK4" s="28">
        <v>73.16</v>
      </c>
      <c r="AL4" s="28">
        <v>73.349999999999994</v>
      </c>
      <c r="AM4" s="28">
        <v>73.430000000000007</v>
      </c>
      <c r="AN4" s="28">
        <v>73.39</v>
      </c>
      <c r="AO4" s="28">
        <v>73.62</v>
      </c>
      <c r="AP4" s="28">
        <v>73.81</v>
      </c>
      <c r="AQ4" s="28">
        <v>74.19</v>
      </c>
      <c r="AR4" s="28">
        <v>74.28</v>
      </c>
      <c r="AS4" s="28">
        <v>74.37</v>
      </c>
      <c r="AT4" s="28">
        <v>74.27</v>
      </c>
      <c r="AU4" s="28">
        <v>74.34</v>
      </c>
      <c r="AV4" s="28">
        <v>74.33</v>
      </c>
      <c r="AW4" s="28">
        <v>74.569999999999993</v>
      </c>
      <c r="AX4" s="28">
        <v>74.709999999999994</v>
      </c>
      <c r="AY4" s="28">
        <v>74.78</v>
      </c>
      <c r="AZ4" s="28">
        <v>74.75</v>
      </c>
      <c r="BA4" s="28">
        <v>74.73</v>
      </c>
      <c r="BB4" s="27">
        <v>74.900000000000006</v>
      </c>
      <c r="BC4" s="28">
        <v>75.069999999999993</v>
      </c>
      <c r="BD4" s="28">
        <v>75.28</v>
      </c>
      <c r="BE4" s="28">
        <v>75.45</v>
      </c>
      <c r="BF4" s="28">
        <v>75.42</v>
      </c>
      <c r="BG4" s="27">
        <v>75.400000000000006</v>
      </c>
      <c r="BH4" s="27">
        <v>75.400000000000006</v>
      </c>
      <c r="BI4" s="28">
        <v>75.64</v>
      </c>
      <c r="BJ4" s="27">
        <v>75.8</v>
      </c>
      <c r="BK4" s="28">
        <v>75.73</v>
      </c>
      <c r="BL4" s="28">
        <v>75.69</v>
      </c>
      <c r="BM4" s="28">
        <v>75.89</v>
      </c>
      <c r="BN4" s="28">
        <v>76.13</v>
      </c>
      <c r="BO4" s="28">
        <v>76.37</v>
      </c>
      <c r="BP4" s="28">
        <v>76.459999999999994</v>
      </c>
      <c r="BQ4" s="28">
        <v>76.569999999999993</v>
      </c>
      <c r="BR4" s="28">
        <v>76.58</v>
      </c>
      <c r="BS4" s="28">
        <v>76.44</v>
      </c>
      <c r="BT4" s="28">
        <v>76.72</v>
      </c>
      <c r="BU4" s="27">
        <v>77</v>
      </c>
      <c r="BV4" s="28">
        <v>77.08</v>
      </c>
      <c r="BW4" s="28">
        <v>77.150000000000006</v>
      </c>
      <c r="BX4" s="28">
        <v>77.209999999999994</v>
      </c>
      <c r="BY4" s="28">
        <v>77.260000000000005</v>
      </c>
      <c r="BZ4" s="28">
        <v>77.55</v>
      </c>
      <c r="CA4" s="28">
        <v>78.06</v>
      </c>
      <c r="CB4" s="28">
        <v>78.150000000000006</v>
      </c>
      <c r="CC4" s="28">
        <v>78.31</v>
      </c>
      <c r="CD4" s="28">
        <v>78.22</v>
      </c>
      <c r="CE4" s="28">
        <v>78.069999999999993</v>
      </c>
      <c r="CF4" s="28">
        <v>77.92</v>
      </c>
      <c r="CG4" s="28">
        <v>78.16</v>
      </c>
      <c r="CH4" s="28">
        <v>78.37</v>
      </c>
      <c r="CI4" s="27">
        <v>78.3</v>
      </c>
      <c r="CJ4" s="28">
        <v>78.41</v>
      </c>
      <c r="CK4" s="28">
        <v>78.52</v>
      </c>
      <c r="CL4" s="28">
        <v>78.67</v>
      </c>
      <c r="CM4" s="28">
        <v>78.739999999999995</v>
      </c>
      <c r="CN4" s="28">
        <v>78.77</v>
      </c>
      <c r="CO4" s="28">
        <v>78.88</v>
      </c>
      <c r="CP4" s="28">
        <v>78.87</v>
      </c>
      <c r="CQ4" s="28">
        <v>78.760000000000005</v>
      </c>
      <c r="CR4" s="28">
        <v>78.97</v>
      </c>
      <c r="CS4" s="28">
        <v>79.11</v>
      </c>
      <c r="CT4" s="28">
        <v>79.069999999999993</v>
      </c>
      <c r="CU4" s="28">
        <v>79.209999999999994</v>
      </c>
      <c r="CV4" s="28">
        <v>79.239999999999995</v>
      </c>
      <c r="CW4" s="28">
        <v>78.95</v>
      </c>
      <c r="CX4" s="28">
        <v>79.25</v>
      </c>
      <c r="CY4" s="28">
        <v>79.39</v>
      </c>
      <c r="CZ4" s="28">
        <v>79.55</v>
      </c>
      <c r="DA4" s="28">
        <v>79.569999999999993</v>
      </c>
      <c r="DB4" s="28">
        <v>79.63</v>
      </c>
      <c r="DC4" s="28">
        <v>79.36</v>
      </c>
      <c r="DD4" s="28">
        <v>79.42</v>
      </c>
      <c r="DE4" s="28">
        <v>79.39</v>
      </c>
      <c r="DF4" s="28">
        <v>79.34</v>
      </c>
      <c r="DG4" s="28">
        <v>79.290000000000006</v>
      </c>
      <c r="DH4" s="28">
        <v>79.38</v>
      </c>
      <c r="DI4" s="28">
        <v>79.08</v>
      </c>
      <c r="DJ4" s="28">
        <v>79.33</v>
      </c>
      <c r="DK4" s="27">
        <v>79.599999999999994</v>
      </c>
      <c r="DL4" s="28">
        <v>79.83</v>
      </c>
      <c r="DM4" s="28">
        <v>79.83</v>
      </c>
      <c r="DN4" s="28">
        <v>79.83</v>
      </c>
      <c r="DO4" s="28">
        <v>79.61</v>
      </c>
      <c r="DP4" s="28">
        <v>79.739999999999995</v>
      </c>
      <c r="DQ4" s="28">
        <v>79.87</v>
      </c>
      <c r="DR4" s="28">
        <v>79.930000000000007</v>
      </c>
      <c r="DS4" s="28">
        <v>79.959999999999994</v>
      </c>
      <c r="DT4" s="28">
        <v>80.319999999999993</v>
      </c>
      <c r="DU4" s="28">
        <v>80.25</v>
      </c>
      <c r="DV4" s="28">
        <v>80.349999999999994</v>
      </c>
      <c r="DW4" s="28">
        <v>80.73</v>
      </c>
      <c r="DX4" s="28">
        <v>80.73</v>
      </c>
      <c r="DY4" s="27">
        <v>80.900000000000006</v>
      </c>
      <c r="DZ4" s="27">
        <v>81.099999999999994</v>
      </c>
      <c r="EA4" s="28">
        <v>80.97</v>
      </c>
      <c r="EB4" s="28">
        <v>81.13</v>
      </c>
      <c r="EC4" s="28">
        <v>81.55</v>
      </c>
      <c r="ED4" s="28">
        <v>81.45</v>
      </c>
      <c r="EE4" s="28">
        <v>81.63</v>
      </c>
      <c r="EF4" s="27">
        <v>81.599999999999994</v>
      </c>
      <c r="EG4" s="28">
        <v>81.180000000000007</v>
      </c>
      <c r="EH4" s="28">
        <v>81.39</v>
      </c>
      <c r="EI4" s="28">
        <v>81.760000000000005</v>
      </c>
      <c r="EJ4" s="28">
        <v>82.16</v>
      </c>
      <c r="EK4" s="28">
        <v>82.68</v>
      </c>
      <c r="EL4" s="28">
        <v>82.73</v>
      </c>
      <c r="EM4" s="28">
        <v>82.56</v>
      </c>
      <c r="EN4" s="28">
        <v>82.56</v>
      </c>
      <c r="EO4" s="28">
        <v>82.71</v>
      </c>
      <c r="EP4" s="28">
        <v>82.76</v>
      </c>
      <c r="EQ4" s="28">
        <v>82.53</v>
      </c>
      <c r="ER4" s="28">
        <v>82.63</v>
      </c>
      <c r="ES4" s="28">
        <v>82.89</v>
      </c>
      <c r="ET4" s="28">
        <v>82.99</v>
      </c>
      <c r="EU4" s="28">
        <v>83.36</v>
      </c>
      <c r="EV4" s="28">
        <v>83.68</v>
      </c>
      <c r="EW4" s="28">
        <v>83.79</v>
      </c>
      <c r="EX4" s="28">
        <v>83.78</v>
      </c>
      <c r="EY4" s="28">
        <v>83.78</v>
      </c>
      <c r="EZ4" s="28">
        <v>83.98</v>
      </c>
      <c r="FA4" s="28">
        <v>84.14</v>
      </c>
      <c r="FB4" s="28">
        <v>84.27</v>
      </c>
      <c r="FC4" s="28">
        <v>84.27</v>
      </c>
      <c r="FD4" s="28">
        <v>84.41</v>
      </c>
      <c r="FE4" s="28">
        <v>84.42</v>
      </c>
      <c r="FF4" s="28">
        <v>84.99</v>
      </c>
      <c r="FG4" s="28">
        <v>85.33</v>
      </c>
      <c r="FH4" s="28">
        <v>85.21</v>
      </c>
      <c r="FI4" s="28">
        <v>85.12</v>
      </c>
      <c r="FJ4" s="28">
        <v>85.28</v>
      </c>
      <c r="FK4" s="28">
        <v>85.19</v>
      </c>
      <c r="FL4" s="28">
        <v>85.39</v>
      </c>
      <c r="FM4" s="28">
        <v>85.73</v>
      </c>
      <c r="FN4" s="28">
        <v>85.78</v>
      </c>
      <c r="FO4" s="28">
        <v>85.67</v>
      </c>
      <c r="FP4" s="28">
        <v>85.76</v>
      </c>
      <c r="FQ4" s="28">
        <v>85.61</v>
      </c>
      <c r="FR4" s="28">
        <v>85.96</v>
      </c>
      <c r="FS4" s="27">
        <v>86.3</v>
      </c>
      <c r="FT4" s="28">
        <v>86.53</v>
      </c>
      <c r="FU4" s="28">
        <v>86.85</v>
      </c>
      <c r="FV4" s="28">
        <v>86.89</v>
      </c>
      <c r="FW4" s="28">
        <v>86.75</v>
      </c>
      <c r="FX4" s="28">
        <v>86.94</v>
      </c>
      <c r="FY4" s="28">
        <v>87.02</v>
      </c>
      <c r="FZ4" s="28">
        <v>87.26</v>
      </c>
      <c r="GA4" s="27">
        <v>87.3</v>
      </c>
      <c r="GB4" s="27">
        <v>87.4</v>
      </c>
      <c r="GC4" s="28">
        <v>86.91</v>
      </c>
      <c r="GD4" s="28">
        <v>87.46</v>
      </c>
      <c r="GE4" s="28">
        <v>88.02</v>
      </c>
      <c r="GF4" s="28">
        <v>88.19</v>
      </c>
      <c r="GG4" s="28">
        <v>88.25</v>
      </c>
      <c r="GH4" s="28">
        <v>88.35</v>
      </c>
      <c r="GI4" s="28">
        <v>88.22</v>
      </c>
      <c r="GJ4" s="28">
        <v>88.56</v>
      </c>
      <c r="GK4" s="28">
        <v>88.91</v>
      </c>
      <c r="GL4" s="28">
        <v>88.89</v>
      </c>
      <c r="GM4" s="28">
        <v>88.71</v>
      </c>
      <c r="GN4" s="28">
        <v>88.82</v>
      </c>
      <c r="GO4" s="28">
        <v>88.73</v>
      </c>
      <c r="GP4" s="28">
        <v>89.07</v>
      </c>
      <c r="GQ4" s="28">
        <v>89.33</v>
      </c>
      <c r="GR4" s="28">
        <v>89.71</v>
      </c>
      <c r="GS4" s="28">
        <v>90.11</v>
      </c>
      <c r="GT4" s="27">
        <v>90.1</v>
      </c>
      <c r="GU4" s="28">
        <v>89.95</v>
      </c>
      <c r="GV4" s="28">
        <v>90.26</v>
      </c>
      <c r="GW4" s="28">
        <v>90.05</v>
      </c>
      <c r="GX4" s="28">
        <v>89.85</v>
      </c>
      <c r="GY4" s="28">
        <v>89.96</v>
      </c>
      <c r="GZ4" s="28">
        <v>90.16</v>
      </c>
      <c r="HA4" s="28">
        <v>89.85</v>
      </c>
      <c r="HB4" s="28">
        <v>90.02</v>
      </c>
      <c r="HC4" s="28">
        <v>90.41</v>
      </c>
      <c r="HD4" s="28">
        <v>90.86</v>
      </c>
      <c r="HE4" s="28">
        <v>91.09</v>
      </c>
      <c r="HF4" s="27">
        <v>91.2</v>
      </c>
      <c r="HG4" s="28">
        <v>90.97</v>
      </c>
      <c r="HH4" s="28">
        <v>91.26</v>
      </c>
      <c r="HI4" s="28">
        <v>91.34</v>
      </c>
      <c r="HJ4" s="28">
        <v>91.58</v>
      </c>
      <c r="HK4" s="28">
        <v>92.09</v>
      </c>
      <c r="HL4" s="28">
        <v>92.44</v>
      </c>
      <c r="HM4" s="28">
        <v>92.33</v>
      </c>
      <c r="HN4" s="28">
        <v>92.53</v>
      </c>
      <c r="HO4" s="28">
        <v>93.24</v>
      </c>
      <c r="HP4" s="28">
        <v>93.56</v>
      </c>
      <c r="HQ4" s="28">
        <v>94.07</v>
      </c>
      <c r="HR4" s="28">
        <v>94.42</v>
      </c>
      <c r="HS4" s="28">
        <v>94.21</v>
      </c>
      <c r="HT4" s="28">
        <v>94.17</v>
      </c>
      <c r="HU4" s="28">
        <v>94.11</v>
      </c>
      <c r="HV4" s="28">
        <v>94.05</v>
      </c>
      <c r="HW4" s="27">
        <v>93.6</v>
      </c>
      <c r="HX4" s="28">
        <v>93.37</v>
      </c>
      <c r="HY4" s="28">
        <v>92.98</v>
      </c>
      <c r="HZ4" s="28">
        <v>93.34</v>
      </c>
      <c r="IA4" s="28">
        <v>93.52</v>
      </c>
      <c r="IB4" s="28">
        <v>93.66</v>
      </c>
      <c r="IC4" s="28">
        <v>93.81</v>
      </c>
      <c r="ID4" s="28">
        <v>93.93</v>
      </c>
      <c r="IE4" s="27">
        <v>93.5</v>
      </c>
      <c r="IF4" s="28">
        <v>93.99</v>
      </c>
      <c r="IG4" s="28">
        <v>93.76</v>
      </c>
      <c r="IH4" s="28">
        <v>93.85</v>
      </c>
      <c r="II4" s="28">
        <v>93.91</v>
      </c>
      <c r="IJ4" s="28">
        <v>94.14</v>
      </c>
      <c r="IK4" s="28">
        <v>93.92</v>
      </c>
      <c r="IL4" s="28">
        <v>94.45</v>
      </c>
      <c r="IM4" s="28">
        <v>94.92</v>
      </c>
      <c r="IN4" s="28">
        <v>95.18</v>
      </c>
      <c r="IO4" s="28">
        <v>95.28</v>
      </c>
      <c r="IP4" s="28">
        <v>95.27</v>
      </c>
      <c r="IQ4" s="27">
        <v>95</v>
      </c>
      <c r="IR4" s="28">
        <v>95.23</v>
      </c>
      <c r="IS4" s="28">
        <v>95.15</v>
      </c>
      <c r="IT4" s="28">
        <v>95.28</v>
      </c>
      <c r="IU4" s="28">
        <v>95.32</v>
      </c>
      <c r="IV4" s="28">
        <v>95.74</v>
      </c>
      <c r="IW4" s="28">
        <v>95.51</v>
      </c>
      <c r="IX4" s="28">
        <v>95.97</v>
      </c>
      <c r="IY4" s="28">
        <v>96.76</v>
      </c>
      <c r="IZ4" s="27">
        <v>97.1</v>
      </c>
      <c r="JA4" s="28">
        <v>97.16</v>
      </c>
      <c r="JB4" s="28">
        <v>97.23</v>
      </c>
      <c r="JC4" s="28">
        <v>96.79</v>
      </c>
      <c r="JD4" s="28">
        <v>97.31</v>
      </c>
      <c r="JE4" s="28">
        <v>97.23</v>
      </c>
      <c r="JF4" s="28">
        <v>97.42</v>
      </c>
      <c r="JG4" s="28">
        <v>97.64</v>
      </c>
      <c r="JH4" s="28">
        <v>98.04</v>
      </c>
      <c r="JI4" s="28">
        <v>97.68</v>
      </c>
      <c r="JJ4" s="28">
        <v>98.09</v>
      </c>
      <c r="JK4" s="28">
        <v>98.93</v>
      </c>
      <c r="JL4" s="28">
        <v>99.06</v>
      </c>
      <c r="JM4" s="27">
        <v>99</v>
      </c>
      <c r="JN4" s="28">
        <v>99.04</v>
      </c>
      <c r="JO4" s="27">
        <v>98.6</v>
      </c>
      <c r="JP4" s="28">
        <v>99.27</v>
      </c>
      <c r="JQ4" s="28">
        <v>99.01</v>
      </c>
      <c r="JR4" s="28">
        <v>99.07</v>
      </c>
      <c r="JS4" s="28">
        <v>98.91</v>
      </c>
      <c r="JT4" s="28">
        <v>99.23</v>
      </c>
      <c r="JU4" s="28">
        <v>98.71</v>
      </c>
      <c r="JV4" s="27">
        <v>99</v>
      </c>
      <c r="JW4" s="28">
        <v>99.77</v>
      </c>
      <c r="JX4" s="28">
        <v>99.62</v>
      </c>
      <c r="JY4" s="28">
        <v>99.67</v>
      </c>
      <c r="JZ4" s="28">
        <v>99.84</v>
      </c>
      <c r="KA4" s="27">
        <v>99.5</v>
      </c>
      <c r="KB4" s="28">
        <v>99.94</v>
      </c>
      <c r="KC4" s="27">
        <v>99.7</v>
      </c>
      <c r="KD4" s="28">
        <v>99.57</v>
      </c>
      <c r="KE4" s="28">
        <v>99.52</v>
      </c>
      <c r="KF4" s="28">
        <v>99.87</v>
      </c>
      <c r="KG4" s="28">
        <v>99.26</v>
      </c>
      <c r="KH4" s="28">
        <v>99.79</v>
      </c>
      <c r="KI4" s="29">
        <v>100.25</v>
      </c>
      <c r="KJ4" s="30">
        <v>100.2</v>
      </c>
      <c r="KK4" s="29">
        <v>100.23</v>
      </c>
      <c r="KL4" s="29">
        <v>100.19</v>
      </c>
      <c r="KM4" s="28">
        <v>99.87</v>
      </c>
      <c r="KN4" s="29">
        <v>100.31</v>
      </c>
      <c r="KO4" s="28">
        <v>99.92</v>
      </c>
      <c r="KP4" s="28">
        <v>99.95</v>
      </c>
      <c r="KQ4" s="28">
        <v>99.78</v>
      </c>
      <c r="KR4" s="28">
        <v>99.86</v>
      </c>
      <c r="KS4" s="28">
        <v>98.85</v>
      </c>
      <c r="KT4" s="28">
        <v>99.51</v>
      </c>
      <c r="KU4" s="29">
        <v>100.17</v>
      </c>
      <c r="KV4" s="29">
        <v>100.29</v>
      </c>
      <c r="KW4" s="29">
        <v>100.53</v>
      </c>
      <c r="KX4" s="29">
        <v>100.45</v>
      </c>
      <c r="KY4" s="29">
        <v>100.03</v>
      </c>
      <c r="KZ4" s="29">
        <v>100.36</v>
      </c>
      <c r="LA4" s="28">
        <v>99.95</v>
      </c>
      <c r="LB4" s="29">
        <v>100.01</v>
      </c>
      <c r="LC4" s="28">
        <v>99.81</v>
      </c>
      <c r="LD4" s="29">
        <v>100.04</v>
      </c>
      <c r="LE4" s="28">
        <v>99.07</v>
      </c>
      <c r="LF4" s="28">
        <v>99.32</v>
      </c>
      <c r="LG4" s="29">
        <v>100.02</v>
      </c>
      <c r="LH4" s="29">
        <v>100.09</v>
      </c>
      <c r="LI4" s="29">
        <v>100.51</v>
      </c>
      <c r="LJ4" s="29">
        <v>100.64</v>
      </c>
      <c r="LK4" s="29">
        <v>100.26</v>
      </c>
      <c r="LL4" s="29">
        <v>100.59</v>
      </c>
      <c r="LM4" s="29">
        <v>100.35</v>
      </c>
      <c r="LN4" s="29">
        <v>100.37</v>
      </c>
      <c r="LO4" s="29">
        <v>100.36</v>
      </c>
      <c r="LP4" s="29">
        <v>100.66</v>
      </c>
      <c r="LQ4" s="29">
        <v>100.41</v>
      </c>
      <c r="LR4" s="29">
        <v>100.52</v>
      </c>
      <c r="LS4" s="29">
        <v>101.14</v>
      </c>
      <c r="LT4" s="29">
        <v>101.23</v>
      </c>
      <c r="LU4" s="29">
        <v>101.28</v>
      </c>
      <c r="LV4" s="30">
        <v>101.3</v>
      </c>
      <c r="LW4" s="29">
        <v>100.94</v>
      </c>
      <c r="LX4" s="29">
        <v>101.47</v>
      </c>
      <c r="LY4" s="30">
        <v>101.3</v>
      </c>
      <c r="LZ4" s="30">
        <v>101.4</v>
      </c>
      <c r="MA4" s="29">
        <v>101.47</v>
      </c>
      <c r="MB4" s="29">
        <v>101.76</v>
      </c>
      <c r="MC4" s="29">
        <v>101.67</v>
      </c>
      <c r="MD4" s="29">
        <v>101.64</v>
      </c>
      <c r="ME4" s="29">
        <v>102.42</v>
      </c>
      <c r="MF4" s="29">
        <v>102.59</v>
      </c>
      <c r="MG4" s="29">
        <v>103.06</v>
      </c>
      <c r="MH4" s="29">
        <v>103.07</v>
      </c>
      <c r="MI4" s="29">
        <v>102.96</v>
      </c>
      <c r="MJ4" s="29">
        <v>103.48</v>
      </c>
      <c r="MK4" s="29">
        <v>103.25</v>
      </c>
      <c r="ML4" s="29">
        <v>103.37</v>
      </c>
      <c r="MM4" s="29">
        <v>103.14</v>
      </c>
      <c r="MN4" s="29">
        <v>103.16</v>
      </c>
      <c r="MO4" s="29">
        <v>102.67</v>
      </c>
      <c r="MP4" s="29">
        <v>102.73</v>
      </c>
      <c r="MQ4" s="29">
        <v>103.43</v>
      </c>
      <c r="MR4" s="29">
        <v>103.76</v>
      </c>
      <c r="MS4" s="29">
        <v>103.86</v>
      </c>
      <c r="MT4" s="29">
        <v>104.12</v>
      </c>
      <c r="MU4" s="29">
        <v>103.91</v>
      </c>
      <c r="MV4" s="30">
        <v>104.4</v>
      </c>
      <c r="MW4" s="29">
        <v>104.04</v>
      </c>
      <c r="MX4" s="29">
        <v>103.99</v>
      </c>
      <c r="MY4" s="29">
        <v>103.92</v>
      </c>
      <c r="MZ4" s="29">
        <v>104.39</v>
      </c>
      <c r="NA4" s="29">
        <v>103.94</v>
      </c>
      <c r="NB4" s="29">
        <v>103.93</v>
      </c>
      <c r="NC4" s="29">
        <v>103.85</v>
      </c>
      <c r="ND4" s="29">
        <v>103.81</v>
      </c>
      <c r="NE4" s="29">
        <v>103.95</v>
      </c>
      <c r="NF4" s="29">
        <v>104.04</v>
      </c>
      <c r="NG4" s="29">
        <v>104.44</v>
      </c>
      <c r="NH4" s="29">
        <v>104.34</v>
      </c>
      <c r="NI4" s="30">
        <v>103.8</v>
      </c>
      <c r="NJ4" s="29">
        <v>103.75</v>
      </c>
      <c r="NK4" s="29">
        <v>103.86</v>
      </c>
      <c r="NL4" s="29">
        <v>104.09</v>
      </c>
      <c r="NM4" s="29">
        <v>104.24</v>
      </c>
      <c r="NN4" s="29">
        <v>104.24</v>
      </c>
      <c r="NO4" s="29">
        <v>104.89</v>
      </c>
      <c r="NP4" s="30">
        <v>105</v>
      </c>
      <c r="NQ4" s="29">
        <v>105.34</v>
      </c>
      <c r="NR4" s="29">
        <v>105.48</v>
      </c>
      <c r="NS4" s="29">
        <v>105.55</v>
      </c>
      <c r="NT4" s="29">
        <v>106.21</v>
      </c>
      <c r="NU4" s="29">
        <v>105.97</v>
      </c>
      <c r="NV4" s="29">
        <v>106.42</v>
      </c>
      <c r="NW4" s="29">
        <v>106.82</v>
      </c>
      <c r="NX4" s="29">
        <v>107.03</v>
      </c>
      <c r="NY4" s="30">
        <v>107.3</v>
      </c>
      <c r="NZ4" s="29">
        <v>108.14</v>
      </c>
      <c r="OA4" s="30">
        <v>109.7</v>
      </c>
    </row>
    <row r="5" spans="1:391" ht="22.8" x14ac:dyDescent="0.3">
      <c r="A5" s="26" t="s">
        <v>441</v>
      </c>
      <c r="B5" s="26" t="s">
        <v>442</v>
      </c>
      <c r="C5" s="26" t="s">
        <v>413</v>
      </c>
      <c r="D5" s="26" t="s">
        <v>414</v>
      </c>
      <c r="E5" s="31" t="s">
        <v>418</v>
      </c>
      <c r="F5" s="31" t="s">
        <v>418</v>
      </c>
      <c r="G5" s="31" t="s">
        <v>418</v>
      </c>
      <c r="H5" s="31" t="s">
        <v>418</v>
      </c>
      <c r="I5" s="31" t="s">
        <v>418</v>
      </c>
      <c r="J5" s="31" t="s">
        <v>418</v>
      </c>
      <c r="K5" s="31" t="s">
        <v>418</v>
      </c>
      <c r="L5" s="31" t="s">
        <v>418</v>
      </c>
      <c r="M5" s="31" t="s">
        <v>418</v>
      </c>
      <c r="N5" s="31" t="s">
        <v>418</v>
      </c>
      <c r="O5" s="31" t="s">
        <v>418</v>
      </c>
      <c r="P5" s="31" t="s">
        <v>418</v>
      </c>
      <c r="Q5" s="31" t="s">
        <v>418</v>
      </c>
      <c r="R5" s="31" t="s">
        <v>418</v>
      </c>
      <c r="S5" s="31" t="s">
        <v>418</v>
      </c>
      <c r="T5" s="31" t="s">
        <v>418</v>
      </c>
      <c r="U5" s="31" t="s">
        <v>418</v>
      </c>
      <c r="V5" s="31" t="s">
        <v>418</v>
      </c>
      <c r="W5" s="31" t="s">
        <v>418</v>
      </c>
      <c r="X5" s="31" t="s">
        <v>418</v>
      </c>
      <c r="Y5" s="31" t="s">
        <v>418</v>
      </c>
      <c r="Z5" s="31" t="s">
        <v>418</v>
      </c>
      <c r="AA5" s="31" t="s">
        <v>418</v>
      </c>
      <c r="AB5" s="31" t="s">
        <v>418</v>
      </c>
      <c r="AC5" s="31" t="s">
        <v>418</v>
      </c>
      <c r="AD5" s="31" t="s">
        <v>418</v>
      </c>
      <c r="AE5" s="31" t="s">
        <v>418</v>
      </c>
      <c r="AF5" s="31" t="s">
        <v>418</v>
      </c>
      <c r="AG5" s="31" t="s">
        <v>418</v>
      </c>
      <c r="AH5" s="31" t="s">
        <v>418</v>
      </c>
      <c r="AI5" s="31" t="s">
        <v>418</v>
      </c>
      <c r="AJ5" s="31" t="s">
        <v>418</v>
      </c>
      <c r="AK5" s="31" t="s">
        <v>418</v>
      </c>
      <c r="AL5" s="31" t="s">
        <v>418</v>
      </c>
      <c r="AM5" s="31" t="s">
        <v>418</v>
      </c>
      <c r="AN5" s="31" t="s">
        <v>418</v>
      </c>
      <c r="AO5" s="31" t="s">
        <v>418</v>
      </c>
      <c r="AP5" s="31" t="s">
        <v>418</v>
      </c>
      <c r="AQ5" s="31" t="s">
        <v>418</v>
      </c>
      <c r="AR5" s="31" t="s">
        <v>418</v>
      </c>
      <c r="AS5" s="31" t="s">
        <v>418</v>
      </c>
      <c r="AT5" s="31" t="s">
        <v>418</v>
      </c>
      <c r="AU5" s="31" t="s">
        <v>418</v>
      </c>
      <c r="AV5" s="31" t="s">
        <v>418</v>
      </c>
      <c r="AW5" s="31" t="s">
        <v>418</v>
      </c>
      <c r="AX5" s="31" t="s">
        <v>418</v>
      </c>
      <c r="AY5" s="31" t="s">
        <v>418</v>
      </c>
      <c r="AZ5" s="31" t="s">
        <v>418</v>
      </c>
      <c r="BA5" s="31" t="s">
        <v>418</v>
      </c>
      <c r="BB5" s="31" t="s">
        <v>418</v>
      </c>
      <c r="BC5" s="31" t="s">
        <v>418</v>
      </c>
      <c r="BD5" s="31" t="s">
        <v>418</v>
      </c>
      <c r="BE5" s="31" t="s">
        <v>418</v>
      </c>
      <c r="BF5" s="31" t="s">
        <v>418</v>
      </c>
      <c r="BG5" s="31" t="s">
        <v>418</v>
      </c>
      <c r="BH5" s="31" t="s">
        <v>418</v>
      </c>
      <c r="BI5" s="31" t="s">
        <v>418</v>
      </c>
      <c r="BJ5" s="31" t="s">
        <v>418</v>
      </c>
      <c r="BK5" s="31" t="s">
        <v>418</v>
      </c>
      <c r="BL5" s="31" t="s">
        <v>418</v>
      </c>
      <c r="BM5" s="31" t="s">
        <v>418</v>
      </c>
      <c r="BN5" s="31" t="s">
        <v>418</v>
      </c>
      <c r="BO5" s="31" t="s">
        <v>418</v>
      </c>
      <c r="BP5" s="31" t="s">
        <v>418</v>
      </c>
      <c r="BQ5" s="31" t="s">
        <v>418</v>
      </c>
      <c r="BR5" s="31" t="s">
        <v>418</v>
      </c>
      <c r="BS5" s="31" t="s">
        <v>418</v>
      </c>
      <c r="BT5" s="31" t="s">
        <v>418</v>
      </c>
      <c r="BU5" s="31" t="s">
        <v>418</v>
      </c>
      <c r="BV5" s="31" t="s">
        <v>418</v>
      </c>
      <c r="BW5" s="31" t="s">
        <v>418</v>
      </c>
      <c r="BX5" s="31" t="s">
        <v>418</v>
      </c>
      <c r="BY5" s="31" t="s">
        <v>418</v>
      </c>
      <c r="BZ5" s="31" t="s">
        <v>418</v>
      </c>
      <c r="CA5" s="31" t="s">
        <v>418</v>
      </c>
      <c r="CB5" s="31" t="s">
        <v>418</v>
      </c>
      <c r="CC5" s="31" t="s">
        <v>418</v>
      </c>
      <c r="CD5" s="31" t="s">
        <v>418</v>
      </c>
      <c r="CE5" s="31" t="s">
        <v>418</v>
      </c>
      <c r="CF5" s="31" t="s">
        <v>418</v>
      </c>
      <c r="CG5" s="31" t="s">
        <v>418</v>
      </c>
      <c r="CH5" s="31" t="s">
        <v>418</v>
      </c>
      <c r="CI5" s="31" t="s">
        <v>418</v>
      </c>
      <c r="CJ5" s="31" t="s">
        <v>418</v>
      </c>
      <c r="CK5" s="31" t="s">
        <v>418</v>
      </c>
      <c r="CL5" s="31" t="s">
        <v>418</v>
      </c>
      <c r="CM5" s="31" t="s">
        <v>418</v>
      </c>
      <c r="CN5" s="31" t="s">
        <v>418</v>
      </c>
      <c r="CO5" s="31" t="s">
        <v>418</v>
      </c>
      <c r="CP5" s="31" t="s">
        <v>418</v>
      </c>
      <c r="CQ5" s="31" t="s">
        <v>418</v>
      </c>
      <c r="CR5" s="31" t="s">
        <v>418</v>
      </c>
      <c r="CS5" s="31" t="s">
        <v>418</v>
      </c>
      <c r="CT5" s="31" t="s">
        <v>418</v>
      </c>
      <c r="CU5" s="31" t="s">
        <v>418</v>
      </c>
      <c r="CV5" s="31" t="s">
        <v>418</v>
      </c>
      <c r="CW5" s="28">
        <v>79.42</v>
      </c>
      <c r="CX5" s="28">
        <v>79.73</v>
      </c>
      <c r="CY5" s="28">
        <v>79.87</v>
      </c>
      <c r="CZ5" s="28">
        <v>80.03</v>
      </c>
      <c r="DA5" s="28">
        <v>80.05</v>
      </c>
      <c r="DB5" s="28">
        <v>80.11</v>
      </c>
      <c r="DC5" s="28">
        <v>79.81</v>
      </c>
      <c r="DD5" s="28">
        <v>79.849999999999994</v>
      </c>
      <c r="DE5" s="28">
        <v>79.81</v>
      </c>
      <c r="DF5" s="28">
        <v>79.739999999999995</v>
      </c>
      <c r="DG5" s="28">
        <v>79.680000000000007</v>
      </c>
      <c r="DH5" s="28">
        <v>79.77</v>
      </c>
      <c r="DI5" s="28">
        <v>79.45</v>
      </c>
      <c r="DJ5" s="28">
        <v>79.709999999999994</v>
      </c>
      <c r="DK5" s="28">
        <v>79.989999999999995</v>
      </c>
      <c r="DL5" s="28">
        <v>80.22</v>
      </c>
      <c r="DM5" s="28">
        <v>80.22</v>
      </c>
      <c r="DN5" s="28">
        <v>80.209999999999994</v>
      </c>
      <c r="DO5" s="28">
        <v>79.98</v>
      </c>
      <c r="DP5" s="28">
        <v>80.11</v>
      </c>
      <c r="DQ5" s="28">
        <v>80.239999999999995</v>
      </c>
      <c r="DR5" s="27">
        <v>80.3</v>
      </c>
      <c r="DS5" s="28">
        <v>80.33</v>
      </c>
      <c r="DT5" s="28">
        <v>80.709999999999994</v>
      </c>
      <c r="DU5" s="27">
        <v>80.7</v>
      </c>
      <c r="DV5" s="27">
        <v>80.8</v>
      </c>
      <c r="DW5" s="27">
        <v>81.2</v>
      </c>
      <c r="DX5" s="27">
        <v>81.2</v>
      </c>
      <c r="DY5" s="28">
        <v>81.37</v>
      </c>
      <c r="DZ5" s="28">
        <v>81.59</v>
      </c>
      <c r="EA5" s="28">
        <v>81.44</v>
      </c>
      <c r="EB5" s="27">
        <v>81.599999999999994</v>
      </c>
      <c r="EC5" s="28">
        <v>82.04</v>
      </c>
      <c r="ED5" s="28">
        <v>81.94</v>
      </c>
      <c r="EE5" s="28">
        <v>82.13</v>
      </c>
      <c r="EF5" s="28">
        <v>82.09</v>
      </c>
      <c r="EG5" s="28">
        <v>81.680000000000007</v>
      </c>
      <c r="EH5" s="27">
        <v>81.900000000000006</v>
      </c>
      <c r="EI5" s="28">
        <v>82.29</v>
      </c>
      <c r="EJ5" s="28">
        <v>82.71</v>
      </c>
      <c r="EK5" s="28">
        <v>83.26</v>
      </c>
      <c r="EL5" s="28">
        <v>83.31</v>
      </c>
      <c r="EM5" s="28">
        <v>83.12</v>
      </c>
      <c r="EN5" s="28">
        <v>83.12</v>
      </c>
      <c r="EO5" s="28">
        <v>83.27</v>
      </c>
      <c r="EP5" s="28">
        <v>83.31</v>
      </c>
      <c r="EQ5" s="28">
        <v>83.06</v>
      </c>
      <c r="ER5" s="28">
        <v>83.16</v>
      </c>
      <c r="ES5" s="28">
        <v>83.42</v>
      </c>
      <c r="ET5" s="28">
        <v>83.52</v>
      </c>
      <c r="EU5" s="27">
        <v>83.9</v>
      </c>
      <c r="EV5" s="28">
        <v>84.22</v>
      </c>
      <c r="EW5" s="28">
        <v>84.32</v>
      </c>
      <c r="EX5" s="27">
        <v>84.3</v>
      </c>
      <c r="EY5" s="27">
        <v>84.3</v>
      </c>
      <c r="EZ5" s="28">
        <v>84.49</v>
      </c>
      <c r="FA5" s="28">
        <v>84.65</v>
      </c>
      <c r="FB5" s="28">
        <v>84.77</v>
      </c>
      <c r="FC5" s="28">
        <v>84.77</v>
      </c>
      <c r="FD5" s="28">
        <v>84.91</v>
      </c>
      <c r="FE5" s="27">
        <v>84.9</v>
      </c>
      <c r="FF5" s="27">
        <v>85.5</v>
      </c>
      <c r="FG5" s="28">
        <v>85.86</v>
      </c>
      <c r="FH5" s="28">
        <v>85.71</v>
      </c>
      <c r="FI5" s="28">
        <v>85.59</v>
      </c>
      <c r="FJ5" s="28">
        <v>85.76</v>
      </c>
      <c r="FK5" s="28">
        <v>85.66</v>
      </c>
      <c r="FL5" s="28">
        <v>85.87</v>
      </c>
      <c r="FM5" s="28">
        <v>86.21</v>
      </c>
      <c r="FN5" s="28">
        <v>86.25</v>
      </c>
      <c r="FO5" s="28">
        <v>86.12</v>
      </c>
      <c r="FP5" s="28">
        <v>86.21</v>
      </c>
      <c r="FQ5" s="28">
        <v>86.04</v>
      </c>
      <c r="FR5" s="27">
        <v>86.4</v>
      </c>
      <c r="FS5" s="28">
        <v>86.75</v>
      </c>
      <c r="FT5" s="28">
        <v>86.98</v>
      </c>
      <c r="FU5" s="28">
        <v>87.32</v>
      </c>
      <c r="FV5" s="28">
        <v>87.35</v>
      </c>
      <c r="FW5" s="28">
        <v>87.18</v>
      </c>
      <c r="FX5" s="28">
        <v>87.36</v>
      </c>
      <c r="FY5" s="28">
        <v>87.43</v>
      </c>
      <c r="FZ5" s="28">
        <v>87.66</v>
      </c>
      <c r="GA5" s="28">
        <v>87.69</v>
      </c>
      <c r="GB5" s="28">
        <v>87.78</v>
      </c>
      <c r="GC5" s="28">
        <v>87.25</v>
      </c>
      <c r="GD5" s="28">
        <v>87.81</v>
      </c>
      <c r="GE5" s="27">
        <v>88.4</v>
      </c>
      <c r="GF5" s="28">
        <v>88.55</v>
      </c>
      <c r="GG5" s="27">
        <v>88.6</v>
      </c>
      <c r="GH5" s="27">
        <v>88.7</v>
      </c>
      <c r="GI5" s="28">
        <v>88.54</v>
      </c>
      <c r="GJ5" s="28">
        <v>88.89</v>
      </c>
      <c r="GK5" s="28">
        <v>89.24</v>
      </c>
      <c r="GL5" s="28">
        <v>89.22</v>
      </c>
      <c r="GM5" s="27">
        <v>89</v>
      </c>
      <c r="GN5" s="27">
        <v>89.1</v>
      </c>
      <c r="GO5" s="28">
        <v>88.99</v>
      </c>
      <c r="GP5" s="28">
        <v>89.33</v>
      </c>
      <c r="GQ5" s="28">
        <v>89.58</v>
      </c>
      <c r="GR5" s="28">
        <v>89.98</v>
      </c>
      <c r="GS5" s="28">
        <v>90.39</v>
      </c>
      <c r="GT5" s="28">
        <v>90.37</v>
      </c>
      <c r="GU5" s="27">
        <v>90.2</v>
      </c>
      <c r="GV5" s="28">
        <v>90.51</v>
      </c>
      <c r="GW5" s="28">
        <v>90.28</v>
      </c>
      <c r="GX5" s="28">
        <v>90.05</v>
      </c>
      <c r="GY5" s="28">
        <v>90.15</v>
      </c>
      <c r="GZ5" s="28">
        <v>90.36</v>
      </c>
      <c r="HA5" s="27">
        <v>90</v>
      </c>
      <c r="HB5" s="28">
        <v>90.17</v>
      </c>
      <c r="HC5" s="28">
        <v>90.57</v>
      </c>
      <c r="HD5" s="28">
        <v>91.01</v>
      </c>
      <c r="HE5" s="28">
        <v>91.25</v>
      </c>
      <c r="HF5" s="28">
        <v>91.36</v>
      </c>
      <c r="HG5" s="27">
        <v>91.1</v>
      </c>
      <c r="HH5" s="27">
        <v>91.4</v>
      </c>
      <c r="HI5" s="28">
        <v>91.47</v>
      </c>
      <c r="HJ5" s="28">
        <v>91.71</v>
      </c>
      <c r="HK5" s="28">
        <v>92.24</v>
      </c>
      <c r="HL5" s="27">
        <v>92.6</v>
      </c>
      <c r="HM5" s="28">
        <v>92.48</v>
      </c>
      <c r="HN5" s="28">
        <v>92.68</v>
      </c>
      <c r="HO5" s="28">
        <v>93.42</v>
      </c>
      <c r="HP5" s="28">
        <v>93.76</v>
      </c>
      <c r="HQ5" s="28">
        <v>94.29</v>
      </c>
      <c r="HR5" s="28">
        <v>94.66</v>
      </c>
      <c r="HS5" s="28">
        <v>94.44</v>
      </c>
      <c r="HT5" s="28">
        <v>94.39</v>
      </c>
      <c r="HU5" s="27">
        <v>94.3</v>
      </c>
      <c r="HV5" s="28">
        <v>94.23</v>
      </c>
      <c r="HW5" s="28">
        <v>93.74</v>
      </c>
      <c r="HX5" s="28">
        <v>93.49</v>
      </c>
      <c r="HY5" s="28">
        <v>93.07</v>
      </c>
      <c r="HZ5" s="28">
        <v>93.44</v>
      </c>
      <c r="IA5" s="28">
        <v>93.61</v>
      </c>
      <c r="IB5" s="28">
        <v>93.75</v>
      </c>
      <c r="IC5" s="28">
        <v>93.89</v>
      </c>
      <c r="ID5" s="28">
        <v>94.01</v>
      </c>
      <c r="IE5" s="28">
        <v>93.55</v>
      </c>
      <c r="IF5" s="28">
        <v>94.05</v>
      </c>
      <c r="IG5" s="28">
        <v>93.79</v>
      </c>
      <c r="IH5" s="28">
        <v>93.89</v>
      </c>
      <c r="II5" s="28">
        <v>93.95</v>
      </c>
      <c r="IJ5" s="28">
        <v>94.19</v>
      </c>
      <c r="IK5" s="28">
        <v>93.95</v>
      </c>
      <c r="IL5" s="27">
        <v>94.5</v>
      </c>
      <c r="IM5" s="28">
        <v>94.99</v>
      </c>
      <c r="IN5" s="28">
        <v>95.25</v>
      </c>
      <c r="IO5" s="28">
        <v>95.36</v>
      </c>
      <c r="IP5" s="28">
        <v>95.34</v>
      </c>
      <c r="IQ5" s="28">
        <v>95.05</v>
      </c>
      <c r="IR5" s="28">
        <v>95.29</v>
      </c>
      <c r="IS5" s="27">
        <v>95.2</v>
      </c>
      <c r="IT5" s="28">
        <v>95.34</v>
      </c>
      <c r="IU5" s="28">
        <v>95.37</v>
      </c>
      <c r="IV5" s="28">
        <v>95.81</v>
      </c>
      <c r="IW5" s="28">
        <v>95.57</v>
      </c>
      <c r="IX5" s="28">
        <v>96.04</v>
      </c>
      <c r="IY5" s="28">
        <v>96.88</v>
      </c>
      <c r="IZ5" s="28">
        <v>97.23</v>
      </c>
      <c r="JA5" s="28">
        <v>97.29</v>
      </c>
      <c r="JB5" s="28">
        <v>97.36</v>
      </c>
      <c r="JC5" s="28">
        <v>96.89</v>
      </c>
      <c r="JD5" s="28">
        <v>97.43</v>
      </c>
      <c r="JE5" s="28">
        <v>97.34</v>
      </c>
      <c r="JF5" s="28">
        <v>97.54</v>
      </c>
      <c r="JG5" s="28">
        <v>97.76</v>
      </c>
      <c r="JH5" s="28">
        <v>98.18</v>
      </c>
      <c r="JI5" s="27">
        <v>97.8</v>
      </c>
      <c r="JJ5" s="28">
        <v>98.22</v>
      </c>
      <c r="JK5" s="27">
        <v>99.1</v>
      </c>
      <c r="JL5" s="28">
        <v>99.22</v>
      </c>
      <c r="JM5" s="28">
        <v>99.15</v>
      </c>
      <c r="JN5" s="28">
        <v>99.19</v>
      </c>
      <c r="JO5" s="28">
        <v>98.72</v>
      </c>
      <c r="JP5" s="28">
        <v>99.42</v>
      </c>
      <c r="JQ5" s="28">
        <v>99.14</v>
      </c>
      <c r="JR5" s="28">
        <v>99.19</v>
      </c>
      <c r="JS5" s="28">
        <v>99.02</v>
      </c>
      <c r="JT5" s="28">
        <v>99.35</v>
      </c>
      <c r="JU5" s="28">
        <v>98.79</v>
      </c>
      <c r="JV5" s="28">
        <v>99.06</v>
      </c>
      <c r="JW5" s="28">
        <v>99.88</v>
      </c>
      <c r="JX5" s="28">
        <v>99.72</v>
      </c>
      <c r="JY5" s="28">
        <v>99.77</v>
      </c>
      <c r="JZ5" s="28">
        <v>99.94</v>
      </c>
      <c r="KA5" s="28">
        <v>99.57</v>
      </c>
      <c r="KB5" s="29">
        <v>100.03</v>
      </c>
      <c r="KC5" s="28">
        <v>99.77</v>
      </c>
      <c r="KD5" s="28">
        <v>99.63</v>
      </c>
      <c r="KE5" s="28">
        <v>99.58</v>
      </c>
      <c r="KF5" s="28">
        <v>99.95</v>
      </c>
      <c r="KG5" s="28">
        <v>99.29</v>
      </c>
      <c r="KH5" s="28">
        <v>99.83</v>
      </c>
      <c r="KI5" s="29">
        <v>100.31</v>
      </c>
      <c r="KJ5" s="29">
        <v>100.27</v>
      </c>
      <c r="KK5" s="29">
        <v>100.29</v>
      </c>
      <c r="KL5" s="29">
        <v>100.25</v>
      </c>
      <c r="KM5" s="27">
        <v>99.9</v>
      </c>
      <c r="KN5" s="29">
        <v>100.37</v>
      </c>
      <c r="KO5" s="28">
        <v>99.95</v>
      </c>
      <c r="KP5" s="28">
        <v>99.98</v>
      </c>
      <c r="KQ5" s="28">
        <v>99.79</v>
      </c>
      <c r="KR5" s="28">
        <v>99.88</v>
      </c>
      <c r="KS5" s="28">
        <v>98.79</v>
      </c>
      <c r="KT5" s="28">
        <v>99.49</v>
      </c>
      <c r="KU5" s="29">
        <v>100.19</v>
      </c>
      <c r="KV5" s="29">
        <v>100.31</v>
      </c>
      <c r="KW5" s="29">
        <v>100.57</v>
      </c>
      <c r="KX5" s="29">
        <v>100.48</v>
      </c>
      <c r="KY5" s="29">
        <v>100.03</v>
      </c>
      <c r="KZ5" s="29">
        <v>100.37</v>
      </c>
      <c r="LA5" s="28">
        <v>99.94</v>
      </c>
      <c r="LB5" s="30">
        <v>100</v>
      </c>
      <c r="LC5" s="28">
        <v>99.79</v>
      </c>
      <c r="LD5" s="29">
        <v>100.03</v>
      </c>
      <c r="LE5" s="28">
        <v>98.99</v>
      </c>
      <c r="LF5" s="28">
        <v>99.25</v>
      </c>
      <c r="LG5" s="30">
        <v>100</v>
      </c>
      <c r="LH5" s="29">
        <v>100.08</v>
      </c>
      <c r="LI5" s="29">
        <v>100.52</v>
      </c>
      <c r="LJ5" s="29">
        <v>100.66</v>
      </c>
      <c r="LK5" s="29">
        <v>100.25</v>
      </c>
      <c r="LL5" s="29">
        <v>100.61</v>
      </c>
      <c r="LM5" s="29">
        <v>100.34</v>
      </c>
      <c r="LN5" s="29">
        <v>100.37</v>
      </c>
      <c r="LO5" s="29">
        <v>100.35</v>
      </c>
      <c r="LP5" s="29">
        <v>100.68</v>
      </c>
      <c r="LQ5" s="29">
        <v>100.41</v>
      </c>
      <c r="LR5" s="29">
        <v>100.53</v>
      </c>
      <c r="LS5" s="29">
        <v>101.19</v>
      </c>
      <c r="LT5" s="29">
        <v>101.28</v>
      </c>
      <c r="LU5" s="29">
        <v>101.34</v>
      </c>
      <c r="LV5" s="29">
        <v>101.35</v>
      </c>
      <c r="LW5" s="29">
        <v>100.97</v>
      </c>
      <c r="LX5" s="29">
        <v>101.54</v>
      </c>
      <c r="LY5" s="29">
        <v>101.36</v>
      </c>
      <c r="LZ5" s="29">
        <v>101.46</v>
      </c>
      <c r="MA5" s="29">
        <v>101.53</v>
      </c>
      <c r="MB5" s="29">
        <v>101.84</v>
      </c>
      <c r="MC5" s="29">
        <v>101.74</v>
      </c>
      <c r="MD5" s="29">
        <v>101.69</v>
      </c>
      <c r="ME5" s="29">
        <v>102.53</v>
      </c>
      <c r="MF5" s="29">
        <v>102.71</v>
      </c>
      <c r="MG5" s="30">
        <v>103.2</v>
      </c>
      <c r="MH5" s="29">
        <v>103.29</v>
      </c>
      <c r="MI5" s="29">
        <v>103.18</v>
      </c>
      <c r="MJ5" s="29">
        <v>103.74</v>
      </c>
      <c r="MK5" s="29">
        <v>103.49</v>
      </c>
      <c r="ML5" s="29">
        <v>103.61</v>
      </c>
      <c r="MM5" s="29">
        <v>103.37</v>
      </c>
      <c r="MN5" s="29">
        <v>103.38</v>
      </c>
      <c r="MO5" s="29">
        <v>102.86</v>
      </c>
      <c r="MP5" s="29">
        <v>102.88</v>
      </c>
      <c r="MQ5" s="29">
        <v>103.62</v>
      </c>
      <c r="MR5" s="29">
        <v>103.97</v>
      </c>
      <c r="MS5" s="29">
        <v>104.08</v>
      </c>
      <c r="MT5" s="29">
        <v>104.35</v>
      </c>
      <c r="MU5" s="29">
        <v>104.13</v>
      </c>
      <c r="MV5" s="29">
        <v>104.64</v>
      </c>
      <c r="MW5" s="29">
        <v>104.25</v>
      </c>
      <c r="MX5" s="30">
        <v>104.2</v>
      </c>
      <c r="MY5" s="29">
        <v>104.12</v>
      </c>
      <c r="MZ5" s="29">
        <v>104.62</v>
      </c>
      <c r="NA5" s="29">
        <v>104.14</v>
      </c>
      <c r="NB5" s="29">
        <v>104.13</v>
      </c>
      <c r="NC5" s="29">
        <v>104.03</v>
      </c>
      <c r="ND5" s="30">
        <v>104</v>
      </c>
      <c r="NE5" s="29">
        <v>104.16</v>
      </c>
      <c r="NF5" s="29">
        <v>104.25</v>
      </c>
      <c r="NG5" s="29">
        <v>104.67</v>
      </c>
      <c r="NH5" s="29">
        <v>104.57</v>
      </c>
      <c r="NI5" s="29">
        <v>103.98</v>
      </c>
      <c r="NJ5" s="29">
        <v>103.93</v>
      </c>
      <c r="NK5" s="29">
        <v>104.05</v>
      </c>
      <c r="NL5" s="29">
        <v>104.29</v>
      </c>
      <c r="NM5" s="29">
        <v>104.45</v>
      </c>
      <c r="NN5" s="30">
        <v>104.4</v>
      </c>
      <c r="NO5" s="29">
        <v>105.09</v>
      </c>
      <c r="NP5" s="30">
        <v>105.2</v>
      </c>
      <c r="NQ5" s="29">
        <v>105.58</v>
      </c>
      <c r="NR5" s="29">
        <v>105.73</v>
      </c>
      <c r="NS5" s="30">
        <v>105.8</v>
      </c>
      <c r="NT5" s="30">
        <v>106.5</v>
      </c>
      <c r="NU5" s="29">
        <v>106.25</v>
      </c>
      <c r="NV5" s="29">
        <v>106.73</v>
      </c>
      <c r="NW5" s="29">
        <v>107.18</v>
      </c>
      <c r="NX5" s="30">
        <v>107.4</v>
      </c>
      <c r="NY5" s="29">
        <v>107.69</v>
      </c>
      <c r="NZ5" s="29">
        <v>108.56</v>
      </c>
      <c r="OA5" s="29">
        <v>110.24</v>
      </c>
    </row>
    <row r="7" spans="1:391" x14ac:dyDescent="0.3">
      <c r="A7" s="24" t="s">
        <v>22</v>
      </c>
      <c r="B7" s="24" t="s">
        <v>23</v>
      </c>
      <c r="C7" s="24" t="s">
        <v>24</v>
      </c>
      <c r="D7" s="24" t="s">
        <v>25</v>
      </c>
      <c r="E7" s="25" t="s">
        <v>412</v>
      </c>
      <c r="F7" s="25" t="s">
        <v>411</v>
      </c>
      <c r="G7" s="25" t="s">
        <v>410</v>
      </c>
      <c r="H7" s="25" t="s">
        <v>409</v>
      </c>
      <c r="I7" s="25" t="s">
        <v>408</v>
      </c>
      <c r="J7" s="25" t="s">
        <v>407</v>
      </c>
      <c r="K7" s="25" t="s">
        <v>406</v>
      </c>
      <c r="L7" s="25" t="s">
        <v>405</v>
      </c>
      <c r="M7" s="25" t="s">
        <v>404</v>
      </c>
      <c r="N7" s="25" t="s">
        <v>403</v>
      </c>
      <c r="O7" s="25" t="s">
        <v>402</v>
      </c>
      <c r="P7" s="25" t="s">
        <v>401</v>
      </c>
      <c r="Q7" s="25" t="s">
        <v>400</v>
      </c>
      <c r="R7" s="25" t="s">
        <v>399</v>
      </c>
      <c r="S7" s="25" t="s">
        <v>398</v>
      </c>
      <c r="T7" s="25" t="s">
        <v>397</v>
      </c>
      <c r="U7" s="25" t="s">
        <v>396</v>
      </c>
      <c r="V7" s="25" t="s">
        <v>395</v>
      </c>
      <c r="W7" s="25" t="s">
        <v>394</v>
      </c>
      <c r="X7" s="25" t="s">
        <v>393</v>
      </c>
      <c r="Y7" s="25" t="s">
        <v>392</v>
      </c>
      <c r="Z7" s="25" t="s">
        <v>391</v>
      </c>
      <c r="AA7" s="25" t="s">
        <v>390</v>
      </c>
      <c r="AB7" s="25" t="s">
        <v>389</v>
      </c>
      <c r="AC7" s="25" t="s">
        <v>388</v>
      </c>
      <c r="AD7" s="25" t="s">
        <v>387</v>
      </c>
      <c r="AE7" s="25" t="s">
        <v>386</v>
      </c>
      <c r="AF7" s="25" t="s">
        <v>385</v>
      </c>
      <c r="AG7" s="25" t="s">
        <v>384</v>
      </c>
      <c r="AH7" s="25" t="s">
        <v>383</v>
      </c>
      <c r="AI7" s="25" t="s">
        <v>382</v>
      </c>
      <c r="AJ7" s="25" t="s">
        <v>381</v>
      </c>
      <c r="AK7" s="25" t="s">
        <v>380</v>
      </c>
      <c r="AL7" s="25" t="s">
        <v>379</v>
      </c>
      <c r="AM7" s="25" t="s">
        <v>378</v>
      </c>
      <c r="AN7" s="25" t="s">
        <v>377</v>
      </c>
      <c r="AO7" s="25" t="s">
        <v>376</v>
      </c>
      <c r="AP7" s="25" t="s">
        <v>375</v>
      </c>
      <c r="AQ7" s="25" t="s">
        <v>374</v>
      </c>
      <c r="AR7" s="25" t="s">
        <v>373</v>
      </c>
      <c r="AS7" s="25" t="s">
        <v>372</v>
      </c>
      <c r="AT7" s="25" t="s">
        <v>371</v>
      </c>
      <c r="AU7" s="25" t="s">
        <v>370</v>
      </c>
      <c r="AV7" s="25" t="s">
        <v>369</v>
      </c>
      <c r="AW7" s="25" t="s">
        <v>368</v>
      </c>
      <c r="AX7" s="25" t="s">
        <v>367</v>
      </c>
      <c r="AY7" s="25" t="s">
        <v>366</v>
      </c>
      <c r="AZ7" s="25" t="s">
        <v>365</v>
      </c>
      <c r="BA7" s="25" t="s">
        <v>364</v>
      </c>
      <c r="BB7" s="25" t="s">
        <v>363</v>
      </c>
      <c r="BC7" s="25" t="s">
        <v>362</v>
      </c>
      <c r="BD7" s="25" t="s">
        <v>361</v>
      </c>
      <c r="BE7" s="25" t="s">
        <v>360</v>
      </c>
      <c r="BF7" s="25" t="s">
        <v>359</v>
      </c>
      <c r="BG7" s="25" t="s">
        <v>358</v>
      </c>
      <c r="BH7" s="25" t="s">
        <v>357</v>
      </c>
      <c r="BI7" s="25" t="s">
        <v>356</v>
      </c>
      <c r="BJ7" s="25" t="s">
        <v>355</v>
      </c>
      <c r="BK7" s="25" t="s">
        <v>354</v>
      </c>
      <c r="BL7" s="25" t="s">
        <v>353</v>
      </c>
      <c r="BM7" s="25" t="s">
        <v>352</v>
      </c>
      <c r="BN7" s="25" t="s">
        <v>351</v>
      </c>
      <c r="BO7" s="25" t="s">
        <v>350</v>
      </c>
      <c r="BP7" s="25" t="s">
        <v>349</v>
      </c>
      <c r="BQ7" s="25" t="s">
        <v>348</v>
      </c>
      <c r="BR7" s="25" t="s">
        <v>347</v>
      </c>
      <c r="BS7" s="25" t="s">
        <v>346</v>
      </c>
      <c r="BT7" s="25" t="s">
        <v>345</v>
      </c>
      <c r="BU7" s="25" t="s">
        <v>344</v>
      </c>
      <c r="BV7" s="25" t="s">
        <v>343</v>
      </c>
      <c r="BW7" s="25" t="s">
        <v>342</v>
      </c>
      <c r="BX7" s="25" t="s">
        <v>341</v>
      </c>
      <c r="BY7" s="25" t="s">
        <v>340</v>
      </c>
      <c r="BZ7" s="25" t="s">
        <v>339</v>
      </c>
      <c r="CA7" s="25" t="s">
        <v>338</v>
      </c>
      <c r="CB7" s="25" t="s">
        <v>337</v>
      </c>
      <c r="CC7" s="25" t="s">
        <v>336</v>
      </c>
      <c r="CD7" s="25" t="s">
        <v>335</v>
      </c>
      <c r="CE7" s="25" t="s">
        <v>334</v>
      </c>
      <c r="CF7" s="25" t="s">
        <v>333</v>
      </c>
      <c r="CG7" s="25" t="s">
        <v>332</v>
      </c>
      <c r="CH7" s="25" t="s">
        <v>331</v>
      </c>
      <c r="CI7" s="25" t="s">
        <v>330</v>
      </c>
      <c r="CJ7" s="25" t="s">
        <v>329</v>
      </c>
      <c r="CK7" s="25" t="s">
        <v>328</v>
      </c>
      <c r="CL7" s="25" t="s">
        <v>327</v>
      </c>
      <c r="CM7" s="25" t="s">
        <v>326</v>
      </c>
      <c r="CN7" s="25" t="s">
        <v>325</v>
      </c>
      <c r="CO7" s="25" t="s">
        <v>324</v>
      </c>
      <c r="CP7" s="25" t="s">
        <v>323</v>
      </c>
      <c r="CQ7" s="25" t="s">
        <v>322</v>
      </c>
      <c r="CR7" s="25" t="s">
        <v>321</v>
      </c>
      <c r="CS7" s="25" t="s">
        <v>320</v>
      </c>
      <c r="CT7" s="25" t="s">
        <v>319</v>
      </c>
      <c r="CU7" s="25" t="s">
        <v>318</v>
      </c>
      <c r="CV7" s="25" t="s">
        <v>317</v>
      </c>
      <c r="CW7" s="25" t="s">
        <v>316</v>
      </c>
      <c r="CX7" s="25" t="s">
        <v>315</v>
      </c>
      <c r="CY7" s="25" t="s">
        <v>314</v>
      </c>
      <c r="CZ7" s="25" t="s">
        <v>313</v>
      </c>
      <c r="DA7" s="25" t="s">
        <v>312</v>
      </c>
      <c r="DB7" s="25" t="s">
        <v>311</v>
      </c>
      <c r="DC7" s="25" t="s">
        <v>310</v>
      </c>
      <c r="DD7" s="25" t="s">
        <v>309</v>
      </c>
      <c r="DE7" s="25" t="s">
        <v>308</v>
      </c>
      <c r="DF7" s="25" t="s">
        <v>307</v>
      </c>
      <c r="DG7" s="25" t="s">
        <v>306</v>
      </c>
      <c r="DH7" s="25" t="s">
        <v>305</v>
      </c>
      <c r="DI7" s="25" t="s">
        <v>304</v>
      </c>
      <c r="DJ7" s="25" t="s">
        <v>303</v>
      </c>
      <c r="DK7" s="25" t="s">
        <v>302</v>
      </c>
      <c r="DL7" s="25" t="s">
        <v>301</v>
      </c>
      <c r="DM7" s="25" t="s">
        <v>300</v>
      </c>
      <c r="DN7" s="25" t="s">
        <v>299</v>
      </c>
      <c r="DO7" s="25" t="s">
        <v>298</v>
      </c>
      <c r="DP7" s="25" t="s">
        <v>297</v>
      </c>
      <c r="DQ7" s="25" t="s">
        <v>296</v>
      </c>
      <c r="DR7" s="25" t="s">
        <v>295</v>
      </c>
      <c r="DS7" s="25" t="s">
        <v>294</v>
      </c>
      <c r="DT7" s="25" t="s">
        <v>293</v>
      </c>
      <c r="DU7" s="25" t="s">
        <v>292</v>
      </c>
      <c r="DV7" s="25" t="s">
        <v>291</v>
      </c>
      <c r="DW7" s="25" t="s">
        <v>290</v>
      </c>
      <c r="DX7" s="25" t="s">
        <v>289</v>
      </c>
      <c r="DY7" s="25" t="s">
        <v>288</v>
      </c>
      <c r="DZ7" s="25" t="s">
        <v>287</v>
      </c>
      <c r="EA7" s="25" t="s">
        <v>286</v>
      </c>
      <c r="EB7" s="25" t="s">
        <v>285</v>
      </c>
      <c r="EC7" s="25" t="s">
        <v>284</v>
      </c>
      <c r="ED7" s="25" t="s">
        <v>283</v>
      </c>
      <c r="EE7" s="25" t="s">
        <v>282</v>
      </c>
      <c r="EF7" s="25" t="s">
        <v>281</v>
      </c>
      <c r="EG7" s="25" t="s">
        <v>280</v>
      </c>
      <c r="EH7" s="25" t="s">
        <v>279</v>
      </c>
      <c r="EI7" s="25" t="s">
        <v>278</v>
      </c>
      <c r="EJ7" s="25" t="s">
        <v>277</v>
      </c>
      <c r="EK7" s="25" t="s">
        <v>276</v>
      </c>
      <c r="EL7" s="25" t="s">
        <v>275</v>
      </c>
      <c r="EM7" s="25" t="s">
        <v>274</v>
      </c>
      <c r="EN7" s="25" t="s">
        <v>273</v>
      </c>
      <c r="EO7" s="25" t="s">
        <v>272</v>
      </c>
      <c r="EP7" s="25" t="s">
        <v>271</v>
      </c>
      <c r="EQ7" s="25" t="s">
        <v>270</v>
      </c>
      <c r="ER7" s="25" t="s">
        <v>269</v>
      </c>
      <c r="ES7" s="25" t="s">
        <v>268</v>
      </c>
      <c r="ET7" s="25" t="s">
        <v>267</v>
      </c>
      <c r="EU7" s="25" t="s">
        <v>266</v>
      </c>
      <c r="EV7" s="25" t="s">
        <v>265</v>
      </c>
      <c r="EW7" s="25" t="s">
        <v>264</v>
      </c>
      <c r="EX7" s="25" t="s">
        <v>263</v>
      </c>
      <c r="EY7" s="25" t="s">
        <v>262</v>
      </c>
      <c r="EZ7" s="25" t="s">
        <v>261</v>
      </c>
      <c r="FA7" s="25" t="s">
        <v>260</v>
      </c>
      <c r="FB7" s="25" t="s">
        <v>259</v>
      </c>
      <c r="FC7" s="25" t="s">
        <v>258</v>
      </c>
      <c r="FD7" s="25" t="s">
        <v>257</v>
      </c>
      <c r="FE7" s="25" t="s">
        <v>256</v>
      </c>
      <c r="FF7" s="25" t="s">
        <v>255</v>
      </c>
      <c r="FG7" s="25" t="s">
        <v>254</v>
      </c>
      <c r="FH7" s="25" t="s">
        <v>253</v>
      </c>
      <c r="FI7" s="25" t="s">
        <v>252</v>
      </c>
      <c r="FJ7" s="25" t="s">
        <v>251</v>
      </c>
      <c r="FK7" s="25" t="s">
        <v>250</v>
      </c>
      <c r="FL7" s="25" t="s">
        <v>249</v>
      </c>
      <c r="FM7" s="25" t="s">
        <v>248</v>
      </c>
      <c r="FN7" s="25" t="s">
        <v>247</v>
      </c>
      <c r="FO7" s="25" t="s">
        <v>246</v>
      </c>
      <c r="FP7" s="25" t="s">
        <v>245</v>
      </c>
      <c r="FQ7" s="25" t="s">
        <v>244</v>
      </c>
      <c r="FR7" s="25" t="s">
        <v>243</v>
      </c>
      <c r="FS7" s="25" t="s">
        <v>242</v>
      </c>
      <c r="FT7" s="25" t="s">
        <v>241</v>
      </c>
      <c r="FU7" s="25" t="s">
        <v>240</v>
      </c>
      <c r="FV7" s="25" t="s">
        <v>239</v>
      </c>
      <c r="FW7" s="25" t="s">
        <v>238</v>
      </c>
      <c r="FX7" s="25" t="s">
        <v>237</v>
      </c>
      <c r="FY7" s="25" t="s">
        <v>236</v>
      </c>
      <c r="FZ7" s="25" t="s">
        <v>235</v>
      </c>
      <c r="GA7" s="25" t="s">
        <v>234</v>
      </c>
      <c r="GB7" s="25" t="s">
        <v>233</v>
      </c>
      <c r="GC7" s="25" t="s">
        <v>232</v>
      </c>
      <c r="GD7" s="25" t="s">
        <v>231</v>
      </c>
      <c r="GE7" s="25" t="s">
        <v>230</v>
      </c>
      <c r="GF7" s="25" t="s">
        <v>229</v>
      </c>
      <c r="GG7" s="25" t="s">
        <v>228</v>
      </c>
      <c r="GH7" s="25" t="s">
        <v>227</v>
      </c>
      <c r="GI7" s="25" t="s">
        <v>226</v>
      </c>
      <c r="GJ7" s="25" t="s">
        <v>225</v>
      </c>
      <c r="GK7" s="25" t="s">
        <v>224</v>
      </c>
      <c r="GL7" s="25" t="s">
        <v>223</v>
      </c>
      <c r="GM7" s="25" t="s">
        <v>222</v>
      </c>
      <c r="GN7" s="25" t="s">
        <v>221</v>
      </c>
      <c r="GO7" s="25" t="s">
        <v>220</v>
      </c>
      <c r="GP7" s="25" t="s">
        <v>219</v>
      </c>
      <c r="GQ7" s="25" t="s">
        <v>218</v>
      </c>
      <c r="GR7" s="25" t="s">
        <v>217</v>
      </c>
      <c r="GS7" s="25" t="s">
        <v>216</v>
      </c>
      <c r="GT7" s="25" t="s">
        <v>215</v>
      </c>
      <c r="GU7" s="25" t="s">
        <v>214</v>
      </c>
      <c r="GV7" s="25" t="s">
        <v>213</v>
      </c>
      <c r="GW7" s="25" t="s">
        <v>212</v>
      </c>
      <c r="GX7" s="25" t="s">
        <v>211</v>
      </c>
      <c r="GY7" s="25" t="s">
        <v>210</v>
      </c>
      <c r="GZ7" s="25" t="s">
        <v>209</v>
      </c>
      <c r="HA7" s="25" t="s">
        <v>208</v>
      </c>
      <c r="HB7" s="25" t="s">
        <v>207</v>
      </c>
      <c r="HC7" s="25" t="s">
        <v>206</v>
      </c>
      <c r="HD7" s="25" t="s">
        <v>205</v>
      </c>
      <c r="HE7" s="25" t="s">
        <v>204</v>
      </c>
      <c r="HF7" s="25" t="s">
        <v>203</v>
      </c>
      <c r="HG7" s="25" t="s">
        <v>202</v>
      </c>
      <c r="HH7" s="25" t="s">
        <v>201</v>
      </c>
      <c r="HI7" s="25" t="s">
        <v>200</v>
      </c>
      <c r="HJ7" s="25" t="s">
        <v>199</v>
      </c>
      <c r="HK7" s="25" t="s">
        <v>198</v>
      </c>
      <c r="HL7" s="25" t="s">
        <v>197</v>
      </c>
      <c r="HM7" s="25" t="s">
        <v>196</v>
      </c>
      <c r="HN7" s="25" t="s">
        <v>195</v>
      </c>
      <c r="HO7" s="25" t="s">
        <v>194</v>
      </c>
      <c r="HP7" s="25" t="s">
        <v>193</v>
      </c>
      <c r="HQ7" s="25" t="s">
        <v>192</v>
      </c>
      <c r="HR7" s="25" t="s">
        <v>191</v>
      </c>
      <c r="HS7" s="25" t="s">
        <v>190</v>
      </c>
      <c r="HT7" s="25" t="s">
        <v>189</v>
      </c>
      <c r="HU7" s="25" t="s">
        <v>188</v>
      </c>
      <c r="HV7" s="25" t="s">
        <v>187</v>
      </c>
      <c r="HW7" s="25" t="s">
        <v>186</v>
      </c>
      <c r="HX7" s="25" t="s">
        <v>185</v>
      </c>
      <c r="HY7" s="25" t="s">
        <v>184</v>
      </c>
      <c r="HZ7" s="25" t="s">
        <v>183</v>
      </c>
      <c r="IA7" s="25" t="s">
        <v>182</v>
      </c>
      <c r="IB7" s="25" t="s">
        <v>181</v>
      </c>
      <c r="IC7" s="25" t="s">
        <v>180</v>
      </c>
      <c r="ID7" s="25" t="s">
        <v>179</v>
      </c>
      <c r="IE7" s="25" t="s">
        <v>178</v>
      </c>
      <c r="IF7" s="25" t="s">
        <v>177</v>
      </c>
      <c r="IG7" s="25" t="s">
        <v>176</v>
      </c>
      <c r="IH7" s="25" t="s">
        <v>175</v>
      </c>
      <c r="II7" s="25" t="s">
        <v>174</v>
      </c>
      <c r="IJ7" s="25" t="s">
        <v>173</v>
      </c>
      <c r="IK7" s="25" t="s">
        <v>172</v>
      </c>
      <c r="IL7" s="25" t="s">
        <v>171</v>
      </c>
      <c r="IM7" s="25" t="s">
        <v>170</v>
      </c>
      <c r="IN7" s="25" t="s">
        <v>169</v>
      </c>
      <c r="IO7" s="25" t="s">
        <v>168</v>
      </c>
      <c r="IP7" s="25" t="s">
        <v>167</v>
      </c>
      <c r="IQ7" s="25" t="s">
        <v>166</v>
      </c>
      <c r="IR7" s="25" t="s">
        <v>165</v>
      </c>
      <c r="IS7" s="25" t="s">
        <v>164</v>
      </c>
      <c r="IT7" s="25" t="s">
        <v>163</v>
      </c>
      <c r="IU7" s="25" t="s">
        <v>162</v>
      </c>
      <c r="IV7" s="25" t="s">
        <v>161</v>
      </c>
      <c r="IW7" s="25" t="s">
        <v>160</v>
      </c>
      <c r="IX7" s="25" t="s">
        <v>159</v>
      </c>
      <c r="IY7" s="25" t="s">
        <v>158</v>
      </c>
      <c r="IZ7" s="25" t="s">
        <v>157</v>
      </c>
      <c r="JA7" s="25" t="s">
        <v>156</v>
      </c>
      <c r="JB7" s="25" t="s">
        <v>155</v>
      </c>
      <c r="JC7" s="25" t="s">
        <v>154</v>
      </c>
      <c r="JD7" s="25" t="s">
        <v>153</v>
      </c>
      <c r="JE7" s="25" t="s">
        <v>152</v>
      </c>
      <c r="JF7" s="25" t="s">
        <v>151</v>
      </c>
      <c r="JG7" s="25" t="s">
        <v>150</v>
      </c>
      <c r="JH7" s="25" t="s">
        <v>149</v>
      </c>
      <c r="JI7" s="25" t="s">
        <v>148</v>
      </c>
      <c r="JJ7" s="25" t="s">
        <v>147</v>
      </c>
      <c r="JK7" s="25" t="s">
        <v>146</v>
      </c>
      <c r="JL7" s="25" t="s">
        <v>145</v>
      </c>
      <c r="JM7" s="25" t="s">
        <v>144</v>
      </c>
      <c r="JN7" s="25" t="s">
        <v>143</v>
      </c>
      <c r="JO7" s="25" t="s">
        <v>142</v>
      </c>
      <c r="JP7" s="25" t="s">
        <v>141</v>
      </c>
      <c r="JQ7" s="25" t="s">
        <v>140</v>
      </c>
      <c r="JR7" s="25" t="s">
        <v>139</v>
      </c>
      <c r="JS7" s="25" t="s">
        <v>138</v>
      </c>
      <c r="JT7" s="25" t="s">
        <v>137</v>
      </c>
      <c r="JU7" s="25" t="s">
        <v>136</v>
      </c>
      <c r="JV7" s="25" t="s">
        <v>135</v>
      </c>
      <c r="JW7" s="25" t="s">
        <v>134</v>
      </c>
      <c r="JX7" s="25" t="s">
        <v>133</v>
      </c>
      <c r="JY7" s="25" t="s">
        <v>132</v>
      </c>
      <c r="JZ7" s="25" t="s">
        <v>131</v>
      </c>
      <c r="KA7" s="25" t="s">
        <v>130</v>
      </c>
      <c r="KB7" s="25" t="s">
        <v>129</v>
      </c>
      <c r="KC7" s="25" t="s">
        <v>128</v>
      </c>
      <c r="KD7" s="25" t="s">
        <v>127</v>
      </c>
      <c r="KE7" s="25" t="s">
        <v>126</v>
      </c>
      <c r="KF7" s="25" t="s">
        <v>125</v>
      </c>
      <c r="KG7" s="25" t="s">
        <v>124</v>
      </c>
      <c r="KH7" s="25" t="s">
        <v>123</v>
      </c>
      <c r="KI7" s="25" t="s">
        <v>122</v>
      </c>
      <c r="KJ7" s="25" t="s">
        <v>121</v>
      </c>
      <c r="KK7" s="25" t="s">
        <v>120</v>
      </c>
      <c r="KL7" s="25" t="s">
        <v>119</v>
      </c>
      <c r="KM7" s="25" t="s">
        <v>118</v>
      </c>
      <c r="KN7" s="25" t="s">
        <v>117</v>
      </c>
      <c r="KO7" s="25" t="s">
        <v>116</v>
      </c>
      <c r="KP7" s="25" t="s">
        <v>115</v>
      </c>
      <c r="KQ7" s="25" t="s">
        <v>114</v>
      </c>
      <c r="KR7" s="25" t="s">
        <v>113</v>
      </c>
      <c r="KS7" s="25" t="s">
        <v>112</v>
      </c>
      <c r="KT7" s="25" t="s">
        <v>111</v>
      </c>
      <c r="KU7" s="25" t="s">
        <v>110</v>
      </c>
      <c r="KV7" s="25" t="s">
        <v>109</v>
      </c>
      <c r="KW7" s="25" t="s">
        <v>108</v>
      </c>
      <c r="KX7" s="25" t="s">
        <v>107</v>
      </c>
      <c r="KY7" s="25" t="s">
        <v>106</v>
      </c>
      <c r="KZ7" s="25" t="s">
        <v>105</v>
      </c>
      <c r="LA7" s="25" t="s">
        <v>104</v>
      </c>
      <c r="LB7" s="25" t="s">
        <v>103</v>
      </c>
      <c r="LC7" s="25" t="s">
        <v>102</v>
      </c>
      <c r="LD7" s="25" t="s">
        <v>101</v>
      </c>
      <c r="LE7" s="25" t="s">
        <v>100</v>
      </c>
      <c r="LF7" s="25" t="s">
        <v>99</v>
      </c>
      <c r="LG7" s="25" t="s">
        <v>98</v>
      </c>
      <c r="LH7" s="25" t="s">
        <v>97</v>
      </c>
      <c r="LI7" s="25" t="s">
        <v>96</v>
      </c>
      <c r="LJ7" s="25" t="s">
        <v>95</v>
      </c>
      <c r="LK7" s="25" t="s">
        <v>94</v>
      </c>
      <c r="LL7" s="25" t="s">
        <v>93</v>
      </c>
      <c r="LM7" s="25" t="s">
        <v>92</v>
      </c>
      <c r="LN7" s="25" t="s">
        <v>91</v>
      </c>
      <c r="LO7" s="25" t="s">
        <v>90</v>
      </c>
      <c r="LP7" s="25" t="s">
        <v>89</v>
      </c>
      <c r="LQ7" s="25" t="s">
        <v>88</v>
      </c>
      <c r="LR7" s="25" t="s">
        <v>87</v>
      </c>
      <c r="LS7" s="25" t="s">
        <v>86</v>
      </c>
      <c r="LT7" s="25" t="s">
        <v>85</v>
      </c>
      <c r="LU7" s="25" t="s">
        <v>84</v>
      </c>
      <c r="LV7" s="25" t="s">
        <v>83</v>
      </c>
      <c r="LW7" s="25" t="s">
        <v>82</v>
      </c>
      <c r="LX7" s="25" t="s">
        <v>81</v>
      </c>
      <c r="LY7" s="25" t="s">
        <v>80</v>
      </c>
      <c r="LZ7" s="25" t="s">
        <v>79</v>
      </c>
      <c r="MA7" s="25" t="s">
        <v>78</v>
      </c>
      <c r="MB7" s="25" t="s">
        <v>77</v>
      </c>
      <c r="MC7" s="25" t="s">
        <v>76</v>
      </c>
      <c r="MD7" s="25" t="s">
        <v>75</v>
      </c>
      <c r="ME7" s="25" t="s">
        <v>74</v>
      </c>
      <c r="MF7" s="25" t="s">
        <v>73</v>
      </c>
      <c r="MG7" s="25" t="s">
        <v>72</v>
      </c>
      <c r="MH7" s="25" t="s">
        <v>71</v>
      </c>
      <c r="MI7" s="25" t="s">
        <v>70</v>
      </c>
      <c r="MJ7" s="25" t="s">
        <v>69</v>
      </c>
      <c r="MK7" s="25" t="s">
        <v>68</v>
      </c>
      <c r="ML7" s="25" t="s">
        <v>67</v>
      </c>
      <c r="MM7" s="25" t="s">
        <v>66</v>
      </c>
      <c r="MN7" s="25" t="s">
        <v>65</v>
      </c>
      <c r="MO7" s="25" t="s">
        <v>64</v>
      </c>
      <c r="MP7" s="25" t="s">
        <v>63</v>
      </c>
      <c r="MQ7" s="25" t="s">
        <v>62</v>
      </c>
      <c r="MR7" s="25" t="s">
        <v>61</v>
      </c>
      <c r="MS7" s="25" t="s">
        <v>60</v>
      </c>
      <c r="MT7" s="25" t="s">
        <v>59</v>
      </c>
      <c r="MU7" s="25" t="s">
        <v>58</v>
      </c>
      <c r="MV7" s="25" t="s">
        <v>57</v>
      </c>
      <c r="MW7" s="25" t="s">
        <v>56</v>
      </c>
      <c r="MX7" s="25" t="s">
        <v>55</v>
      </c>
      <c r="MY7" s="25" t="s">
        <v>54</v>
      </c>
      <c r="MZ7" s="25" t="s">
        <v>53</v>
      </c>
      <c r="NA7" s="25" t="s">
        <v>52</v>
      </c>
      <c r="NB7" s="25" t="s">
        <v>51</v>
      </c>
      <c r="NC7" s="25" t="s">
        <v>50</v>
      </c>
      <c r="ND7" s="25" t="s">
        <v>49</v>
      </c>
      <c r="NE7" s="25" t="s">
        <v>48</v>
      </c>
      <c r="NF7" s="25" t="s">
        <v>47</v>
      </c>
      <c r="NG7" s="25" t="s">
        <v>46</v>
      </c>
      <c r="NH7" s="25" t="s">
        <v>45</v>
      </c>
      <c r="NI7" s="25" t="s">
        <v>44</v>
      </c>
      <c r="NJ7" s="25" t="s">
        <v>43</v>
      </c>
      <c r="NK7" s="25" t="s">
        <v>42</v>
      </c>
      <c r="NL7" s="25" t="s">
        <v>41</v>
      </c>
      <c r="NM7" s="25" t="s">
        <v>40</v>
      </c>
      <c r="NN7" s="25" t="s">
        <v>39</v>
      </c>
      <c r="NO7" s="25" t="s">
        <v>38</v>
      </c>
      <c r="NP7" s="25" t="s">
        <v>37</v>
      </c>
      <c r="NQ7" s="25" t="s">
        <v>36</v>
      </c>
      <c r="NR7" s="25" t="s">
        <v>35</v>
      </c>
      <c r="NS7" s="25" t="s">
        <v>34</v>
      </c>
      <c r="NT7" s="25" t="s">
        <v>33</v>
      </c>
      <c r="NU7" s="25" t="s">
        <v>32</v>
      </c>
      <c r="NV7" s="25" t="s">
        <v>31</v>
      </c>
      <c r="NW7" s="25" t="s">
        <v>30</v>
      </c>
      <c r="NX7" s="25" t="s">
        <v>29</v>
      </c>
      <c r="NY7" s="25" t="s">
        <v>28</v>
      </c>
      <c r="NZ7" s="25" t="s">
        <v>27</v>
      </c>
      <c r="OA7" s="25" t="s">
        <v>26</v>
      </c>
    </row>
    <row r="8" spans="1:391" ht="22.8" x14ac:dyDescent="0.3">
      <c r="A8" s="26" t="s">
        <v>435</v>
      </c>
      <c r="B8" s="26" t="s">
        <v>436</v>
      </c>
      <c r="C8" s="26" t="s">
        <v>413</v>
      </c>
      <c r="D8" s="26" t="s">
        <v>414</v>
      </c>
      <c r="E8" s="27"/>
      <c r="F8" s="32">
        <f>F2/E2-1</f>
        <v>0</v>
      </c>
      <c r="G8" s="32">
        <f t="shared" ref="G8:BR9" si="0">G2/F2-1</f>
        <v>0</v>
      </c>
      <c r="H8" s="32">
        <f t="shared" si="0"/>
        <v>6.0060060060060927E-3</v>
      </c>
      <c r="I8" s="32">
        <f t="shared" si="0"/>
        <v>0</v>
      </c>
      <c r="J8" s="32">
        <f t="shared" si="0"/>
        <v>2.9850746268658135E-3</v>
      </c>
      <c r="K8" s="32">
        <f t="shared" si="0"/>
        <v>1.4880952380951218E-3</v>
      </c>
      <c r="L8" s="32">
        <f t="shared" si="0"/>
        <v>7.429420505200568E-3</v>
      </c>
      <c r="M8" s="32">
        <f t="shared" si="0"/>
        <v>5.8997050147493457E-3</v>
      </c>
      <c r="N8" s="32">
        <f t="shared" si="0"/>
        <v>2.9325513196480912E-3</v>
      </c>
      <c r="O8" s="32">
        <f t="shared" si="0"/>
        <v>0</v>
      </c>
      <c r="P8" s="32">
        <f t="shared" si="0"/>
        <v>0</v>
      </c>
      <c r="Q8" s="32">
        <f t="shared" si="0"/>
        <v>5.8479532163742132E-3</v>
      </c>
      <c r="R8" s="32">
        <f t="shared" si="0"/>
        <v>0</v>
      </c>
      <c r="S8" s="32">
        <f t="shared" si="0"/>
        <v>0</v>
      </c>
      <c r="T8" s="32">
        <f t="shared" si="0"/>
        <v>4.3604651162789665E-3</v>
      </c>
      <c r="U8" s="32">
        <f t="shared" si="0"/>
        <v>1.4471780028944004E-3</v>
      </c>
      <c r="V8" s="32">
        <f t="shared" si="0"/>
        <v>4.3352601156068094E-3</v>
      </c>
      <c r="W8" s="32">
        <f t="shared" si="0"/>
        <v>4.3165467625898568E-3</v>
      </c>
      <c r="X8" s="32">
        <f t="shared" si="0"/>
        <v>2.8653295128939771E-3</v>
      </c>
      <c r="Y8" s="32">
        <f t="shared" si="0"/>
        <v>0</v>
      </c>
      <c r="Z8" s="32">
        <f t="shared" si="0"/>
        <v>4.2857142857142261E-3</v>
      </c>
      <c r="AA8" s="32">
        <f t="shared" si="0"/>
        <v>4.2674253200567502E-3</v>
      </c>
      <c r="AB8" s="32">
        <f t="shared" si="0"/>
        <v>0</v>
      </c>
      <c r="AC8" s="32">
        <f t="shared" si="0"/>
        <v>0</v>
      </c>
      <c r="AD8" s="32">
        <f t="shared" si="0"/>
        <v>2.8328611898016387E-3</v>
      </c>
      <c r="AE8" s="32">
        <f t="shared" si="0"/>
        <v>1.4124293785311437E-3</v>
      </c>
      <c r="AF8" s="32">
        <f t="shared" si="0"/>
        <v>1.4104372355430161E-3</v>
      </c>
      <c r="AG8" s="32">
        <f t="shared" si="0"/>
        <v>2.8169014084507005E-3</v>
      </c>
      <c r="AH8" s="32">
        <f t="shared" si="0"/>
        <v>1.4044943820223921E-3</v>
      </c>
      <c r="AI8" s="32">
        <f t="shared" si="0"/>
        <v>0</v>
      </c>
      <c r="AJ8" s="32">
        <f t="shared" si="0"/>
        <v>1.4025245441795509E-3</v>
      </c>
      <c r="AK8" s="32">
        <f t="shared" si="0"/>
        <v>1.4005602240896309E-3</v>
      </c>
      <c r="AL8" s="32">
        <f t="shared" si="0"/>
        <v>1.3986013986013734E-3</v>
      </c>
      <c r="AM8" s="32">
        <f t="shared" si="0"/>
        <v>2.7932960893854997E-3</v>
      </c>
      <c r="AN8" s="32">
        <f t="shared" si="0"/>
        <v>1.3927576601673319E-3</v>
      </c>
      <c r="AO8" s="32">
        <f t="shared" si="0"/>
        <v>1.3908205841446364E-3</v>
      </c>
      <c r="AP8" s="32">
        <f t="shared" si="0"/>
        <v>2.7777777777777679E-3</v>
      </c>
      <c r="AQ8" s="32">
        <f t="shared" si="0"/>
        <v>2.7700831024930483E-3</v>
      </c>
      <c r="AR8" s="32">
        <f t="shared" si="0"/>
        <v>1.3812154696131174E-3</v>
      </c>
      <c r="AS8" s="32">
        <f t="shared" si="0"/>
        <v>1.3793103448274113E-3</v>
      </c>
      <c r="AT8" s="32">
        <f t="shared" si="0"/>
        <v>1.3774104683197397E-3</v>
      </c>
      <c r="AU8" s="32">
        <f t="shared" si="0"/>
        <v>1.3755158184318717E-3</v>
      </c>
      <c r="AV8" s="32">
        <f t="shared" si="0"/>
        <v>2.7472527472527375E-3</v>
      </c>
      <c r="AW8" s="32">
        <f t="shared" si="0"/>
        <v>1.369863013698458E-3</v>
      </c>
      <c r="AX8" s="32">
        <f t="shared" si="0"/>
        <v>1.3679890560875929E-3</v>
      </c>
      <c r="AY8" s="32">
        <f t="shared" si="0"/>
        <v>1.36612021857907E-3</v>
      </c>
      <c r="AZ8" s="32">
        <f t="shared" si="0"/>
        <v>1.3642564802183177E-3</v>
      </c>
      <c r="BA8" s="32">
        <f t="shared" si="0"/>
        <v>0</v>
      </c>
      <c r="BB8" s="32">
        <f t="shared" si="0"/>
        <v>0</v>
      </c>
      <c r="BC8" s="32">
        <f t="shared" si="0"/>
        <v>0</v>
      </c>
      <c r="BD8" s="32">
        <f t="shared" si="0"/>
        <v>4.0871934604904681E-3</v>
      </c>
      <c r="BE8" s="32">
        <f t="shared" si="0"/>
        <v>1.3568521031206426E-3</v>
      </c>
      <c r="BF8" s="32">
        <f t="shared" si="0"/>
        <v>1.3550135501356753E-3</v>
      </c>
      <c r="BG8" s="32">
        <f t="shared" si="0"/>
        <v>2.7063599458725385E-3</v>
      </c>
      <c r="BH8" s="32">
        <f t="shared" si="0"/>
        <v>0</v>
      </c>
      <c r="BI8" s="32">
        <f t="shared" si="0"/>
        <v>1.3495276653172628E-3</v>
      </c>
      <c r="BJ8" s="32">
        <f t="shared" si="0"/>
        <v>2.6954177897573484E-3</v>
      </c>
      <c r="BK8" s="32">
        <f t="shared" si="0"/>
        <v>0</v>
      </c>
      <c r="BL8" s="32">
        <f t="shared" si="0"/>
        <v>1.3440860215052641E-3</v>
      </c>
      <c r="BM8" s="32">
        <f t="shared" si="0"/>
        <v>2.6845637583892135E-3</v>
      </c>
      <c r="BN8" s="32">
        <f t="shared" si="0"/>
        <v>1.3386880856760541E-3</v>
      </c>
      <c r="BO8" s="32">
        <f t="shared" si="0"/>
        <v>1.3368983957220415E-3</v>
      </c>
      <c r="BP8" s="32">
        <f t="shared" si="0"/>
        <v>0</v>
      </c>
      <c r="BQ8" s="32">
        <f t="shared" si="0"/>
        <v>1.3351134846462109E-3</v>
      </c>
      <c r="BR8" s="32">
        <f t="shared" si="0"/>
        <v>2.666666666666595E-3</v>
      </c>
      <c r="BS8" s="32">
        <f t="shared" ref="BS8:ED11" si="1">BS2/BR2-1</f>
        <v>0</v>
      </c>
      <c r="BT8" s="32">
        <f t="shared" si="1"/>
        <v>5.3191489361701372E-3</v>
      </c>
      <c r="BU8" s="32">
        <f t="shared" si="1"/>
        <v>1.3227513227513921E-3</v>
      </c>
      <c r="BV8" s="32">
        <f t="shared" si="1"/>
        <v>1.3210039630118242E-3</v>
      </c>
      <c r="BW8" s="32">
        <f t="shared" si="1"/>
        <v>2.6385224274407815E-3</v>
      </c>
      <c r="BX8" s="32">
        <f t="shared" si="1"/>
        <v>0</v>
      </c>
      <c r="BY8" s="32">
        <f t="shared" si="1"/>
        <v>2.6315789473685403E-3</v>
      </c>
      <c r="BZ8" s="32">
        <f t="shared" si="1"/>
        <v>1.312335958005173E-3</v>
      </c>
      <c r="CA8" s="32">
        <f t="shared" si="1"/>
        <v>3.9318479685452878E-3</v>
      </c>
      <c r="CB8" s="32">
        <f t="shared" si="1"/>
        <v>1.3054830287206887E-3</v>
      </c>
      <c r="CC8" s="32">
        <f t="shared" si="1"/>
        <v>1.3037809647977738E-3</v>
      </c>
      <c r="CD8" s="32">
        <f t="shared" si="1"/>
        <v>1.3020833333334814E-3</v>
      </c>
      <c r="CE8" s="32">
        <f t="shared" si="1"/>
        <v>0</v>
      </c>
      <c r="CF8" s="32">
        <f t="shared" si="1"/>
        <v>-2.6007802340702879E-3</v>
      </c>
      <c r="CG8" s="32">
        <f t="shared" si="1"/>
        <v>2.6075619295957697E-3</v>
      </c>
      <c r="CH8" s="32">
        <f t="shared" si="1"/>
        <v>2.6007802340701769E-3</v>
      </c>
      <c r="CI8" s="32">
        <f t="shared" si="1"/>
        <v>0</v>
      </c>
      <c r="CJ8" s="32">
        <f t="shared" si="1"/>
        <v>2.5940337224383825E-3</v>
      </c>
      <c r="CK8" s="32">
        <f t="shared" si="1"/>
        <v>2.5873221216041742E-3</v>
      </c>
      <c r="CL8" s="32">
        <f t="shared" si="1"/>
        <v>0</v>
      </c>
      <c r="CM8" s="32">
        <f t="shared" si="1"/>
        <v>-1.290322580645098E-3</v>
      </c>
      <c r="CN8" s="32">
        <f t="shared" si="1"/>
        <v>0</v>
      </c>
      <c r="CO8" s="32">
        <f t="shared" si="1"/>
        <v>1.2919896640826156E-3</v>
      </c>
      <c r="CP8" s="32">
        <f t="shared" si="1"/>
        <v>1.290322580645098E-3</v>
      </c>
      <c r="CQ8" s="32">
        <f t="shared" si="1"/>
        <v>1.2886597938146505E-3</v>
      </c>
      <c r="CR8" s="32">
        <f t="shared" si="1"/>
        <v>1.2870012870012104E-3</v>
      </c>
      <c r="CS8" s="32">
        <f t="shared" si="1"/>
        <v>1.2853470437019787E-3</v>
      </c>
      <c r="CT8" s="32">
        <f t="shared" si="1"/>
        <v>0</v>
      </c>
      <c r="CU8" s="32">
        <f t="shared" si="1"/>
        <v>2.5673940949935137E-3</v>
      </c>
      <c r="CV8" s="32">
        <f t="shared" si="1"/>
        <v>0</v>
      </c>
      <c r="CW8" s="32">
        <f t="shared" si="1"/>
        <v>-1.280409731113874E-3</v>
      </c>
      <c r="CX8" s="32">
        <f t="shared" si="1"/>
        <v>1.2820512820512775E-3</v>
      </c>
      <c r="CY8" s="32">
        <f t="shared" si="1"/>
        <v>0</v>
      </c>
      <c r="CZ8" s="32">
        <f t="shared" si="1"/>
        <v>1.2804097311140961E-3</v>
      </c>
      <c r="DA8" s="32">
        <f t="shared" si="1"/>
        <v>0</v>
      </c>
      <c r="DB8" s="32">
        <f t="shared" si="1"/>
        <v>1.2787723785165905E-3</v>
      </c>
      <c r="DC8" s="32">
        <f t="shared" si="1"/>
        <v>0</v>
      </c>
      <c r="DD8" s="32">
        <f t="shared" si="1"/>
        <v>0</v>
      </c>
      <c r="DE8" s="32">
        <f t="shared" si="1"/>
        <v>-1.2771392081736277E-3</v>
      </c>
      <c r="DF8" s="32">
        <f t="shared" si="1"/>
        <v>0</v>
      </c>
      <c r="DG8" s="32">
        <f t="shared" si="1"/>
        <v>0</v>
      </c>
      <c r="DH8" s="32">
        <f t="shared" si="1"/>
        <v>1.2787723785165905E-3</v>
      </c>
      <c r="DI8" s="32">
        <f t="shared" si="1"/>
        <v>-1.2771392081736277E-3</v>
      </c>
      <c r="DJ8" s="32">
        <f t="shared" si="1"/>
        <v>2.5575447570331811E-3</v>
      </c>
      <c r="DK8" s="32">
        <f t="shared" si="1"/>
        <v>0</v>
      </c>
      <c r="DL8" s="32">
        <f t="shared" si="1"/>
        <v>1.2755102040815647E-3</v>
      </c>
      <c r="DM8" s="32">
        <f t="shared" si="1"/>
        <v>0</v>
      </c>
      <c r="DN8" s="32">
        <f t="shared" si="1"/>
        <v>0</v>
      </c>
      <c r="DO8" s="32">
        <f t="shared" si="1"/>
        <v>1.2738853503184711E-3</v>
      </c>
      <c r="DP8" s="32">
        <f t="shared" si="1"/>
        <v>1.2722646310434627E-3</v>
      </c>
      <c r="DQ8" s="32">
        <f t="shared" si="1"/>
        <v>1.2706480304955914E-3</v>
      </c>
      <c r="DR8" s="32">
        <f t="shared" si="1"/>
        <v>0</v>
      </c>
      <c r="DS8" s="32">
        <f t="shared" si="1"/>
        <v>2.5380710659899108E-3</v>
      </c>
      <c r="DT8" s="32">
        <f t="shared" si="1"/>
        <v>2.5316455696202667E-3</v>
      </c>
      <c r="DU8" s="32">
        <f t="shared" si="1"/>
        <v>3.7878787878786735E-3</v>
      </c>
      <c r="DV8" s="32">
        <f t="shared" si="1"/>
        <v>0</v>
      </c>
      <c r="DW8" s="32">
        <f t="shared" si="1"/>
        <v>1.2578616352201255E-3</v>
      </c>
      <c r="DX8" s="32">
        <f t="shared" si="1"/>
        <v>-2.5125628140701961E-3</v>
      </c>
      <c r="DY8" s="32">
        <f t="shared" si="1"/>
        <v>1.2594458438286438E-3</v>
      </c>
      <c r="DZ8" s="32">
        <f t="shared" si="1"/>
        <v>3.7735849056603765E-3</v>
      </c>
      <c r="EA8" s="32">
        <f t="shared" si="1"/>
        <v>1.2531328320803947E-3</v>
      </c>
      <c r="EB8" s="32">
        <f t="shared" si="1"/>
        <v>1.2515644555692873E-3</v>
      </c>
      <c r="EC8" s="32">
        <f t="shared" si="1"/>
        <v>5.0000000000001155E-3</v>
      </c>
      <c r="ED8" s="32">
        <f t="shared" si="1"/>
        <v>-1.2437810945274963E-3</v>
      </c>
      <c r="EE8" s="32">
        <f t="shared" ref="EE8:GP11" si="2">EE2/ED2-1</f>
        <v>4.9813200498132204E-3</v>
      </c>
      <c r="EF8" s="32">
        <f t="shared" si="2"/>
        <v>0</v>
      </c>
      <c r="EG8" s="32">
        <f t="shared" si="2"/>
        <v>-3.7174721189591198E-3</v>
      </c>
      <c r="EH8" s="32">
        <f t="shared" si="2"/>
        <v>1.2437810945273853E-3</v>
      </c>
      <c r="EI8" s="32">
        <f t="shared" si="2"/>
        <v>1.242236024844745E-3</v>
      </c>
      <c r="EJ8" s="32">
        <f t="shared" si="2"/>
        <v>3.7220843672458592E-3</v>
      </c>
      <c r="EK8" s="32">
        <f t="shared" si="2"/>
        <v>4.9443757725586845E-3</v>
      </c>
      <c r="EL8" s="32">
        <f t="shared" si="2"/>
        <v>1.2300123001232066E-3</v>
      </c>
      <c r="EM8" s="32">
        <f t="shared" si="2"/>
        <v>1.2285012285011554E-3</v>
      </c>
      <c r="EN8" s="32">
        <f t="shared" si="2"/>
        <v>0</v>
      </c>
      <c r="EO8" s="32">
        <f t="shared" si="2"/>
        <v>1.2269938650306678E-3</v>
      </c>
      <c r="EP8" s="32">
        <f t="shared" si="2"/>
        <v>1.225490196078427E-3</v>
      </c>
      <c r="EQ8" s="32">
        <f t="shared" si="2"/>
        <v>-1.223990208078396E-3</v>
      </c>
      <c r="ER8" s="32">
        <f t="shared" si="2"/>
        <v>2.450980392156854E-3</v>
      </c>
      <c r="ES8" s="32">
        <f t="shared" si="2"/>
        <v>4.8899755501223829E-3</v>
      </c>
      <c r="ET8" s="32">
        <f t="shared" si="2"/>
        <v>0</v>
      </c>
      <c r="EU8" s="32">
        <f t="shared" si="2"/>
        <v>1.2165450121652821E-3</v>
      </c>
      <c r="EV8" s="32">
        <f t="shared" si="2"/>
        <v>2.430133657351119E-3</v>
      </c>
      <c r="EW8" s="32">
        <f t="shared" si="2"/>
        <v>0</v>
      </c>
      <c r="EX8" s="32">
        <f t="shared" si="2"/>
        <v>1.2121212121212199E-3</v>
      </c>
      <c r="EY8" s="32">
        <f t="shared" si="2"/>
        <v>2.421307506053294E-3</v>
      </c>
      <c r="EZ8" s="32">
        <f t="shared" si="2"/>
        <v>2.4154589371980784E-3</v>
      </c>
      <c r="FA8" s="32">
        <f t="shared" si="2"/>
        <v>1.2048192771083599E-3</v>
      </c>
      <c r="FB8" s="32">
        <f t="shared" si="2"/>
        <v>1.2033694344164569E-3</v>
      </c>
      <c r="FC8" s="32">
        <f t="shared" si="2"/>
        <v>2.4038461538462563E-3</v>
      </c>
      <c r="FD8" s="32">
        <f t="shared" si="2"/>
        <v>2.3980815347719453E-3</v>
      </c>
      <c r="FE8" s="32">
        <f t="shared" si="2"/>
        <v>3.5885167464115852E-3</v>
      </c>
      <c r="FF8" s="32">
        <f t="shared" si="2"/>
        <v>4.7675804529201393E-3</v>
      </c>
      <c r="FG8" s="32">
        <f t="shared" si="2"/>
        <v>1.1862396204034287E-3</v>
      </c>
      <c r="FH8" s="32">
        <f t="shared" si="2"/>
        <v>-2.3696682464455776E-3</v>
      </c>
      <c r="FI8" s="32">
        <f t="shared" si="2"/>
        <v>-2.3752969121140222E-3</v>
      </c>
      <c r="FJ8" s="32">
        <f t="shared" si="2"/>
        <v>2.3809523809523725E-3</v>
      </c>
      <c r="FK8" s="32">
        <f t="shared" si="2"/>
        <v>2.3752969121140222E-3</v>
      </c>
      <c r="FL8" s="32">
        <f t="shared" si="2"/>
        <v>1.1848341232227888E-3</v>
      </c>
      <c r="FM8" s="32">
        <f t="shared" si="2"/>
        <v>3.5502958579880506E-3</v>
      </c>
      <c r="FN8" s="32">
        <f t="shared" si="2"/>
        <v>2.3584905660378741E-3</v>
      </c>
      <c r="FO8" s="32">
        <f t="shared" si="2"/>
        <v>3.529411764705781E-3</v>
      </c>
      <c r="FP8" s="32">
        <f t="shared" si="2"/>
        <v>1.1723329425556983E-3</v>
      </c>
      <c r="FQ8" s="32">
        <f t="shared" si="2"/>
        <v>1.1709601873535203E-3</v>
      </c>
      <c r="FR8" s="32">
        <f t="shared" si="2"/>
        <v>3.5087719298245723E-3</v>
      </c>
      <c r="FS8" s="32">
        <f t="shared" si="2"/>
        <v>1.1655011655011815E-3</v>
      </c>
      <c r="FT8" s="32">
        <f t="shared" si="2"/>
        <v>0</v>
      </c>
      <c r="FU8" s="32">
        <f t="shared" si="2"/>
        <v>3.4924330616996624E-3</v>
      </c>
      <c r="FV8" s="32">
        <f t="shared" si="2"/>
        <v>1.1600928074244621E-3</v>
      </c>
      <c r="FW8" s="32">
        <f t="shared" si="2"/>
        <v>1.1587485515645035E-3</v>
      </c>
      <c r="FX8" s="32">
        <f t="shared" si="2"/>
        <v>1.1574074074074403E-3</v>
      </c>
      <c r="FY8" s="32">
        <f t="shared" si="2"/>
        <v>1.1560693641616826E-3</v>
      </c>
      <c r="FZ8" s="32">
        <f t="shared" si="2"/>
        <v>2.3094688221709792E-3</v>
      </c>
      <c r="GA8" s="32">
        <f t="shared" si="2"/>
        <v>2.3041474654377225E-3</v>
      </c>
      <c r="GB8" s="32">
        <f t="shared" si="2"/>
        <v>1.1494252873562871E-3</v>
      </c>
      <c r="GC8" s="32">
        <f t="shared" si="2"/>
        <v>-3.4443168771526311E-3</v>
      </c>
      <c r="GD8" s="32">
        <f t="shared" si="2"/>
        <v>4.6082949308756671E-3</v>
      </c>
      <c r="GE8" s="32">
        <f t="shared" si="2"/>
        <v>4.5871559633026138E-3</v>
      </c>
      <c r="GF8" s="32">
        <f t="shared" si="2"/>
        <v>0</v>
      </c>
      <c r="GG8" s="32">
        <f t="shared" si="2"/>
        <v>-1.1415525114154557E-3</v>
      </c>
      <c r="GH8" s="32">
        <f t="shared" si="2"/>
        <v>2.2857142857142243E-3</v>
      </c>
      <c r="GI8" s="32">
        <f t="shared" si="2"/>
        <v>1.1402508551880963E-3</v>
      </c>
      <c r="GJ8" s="32">
        <f t="shared" si="2"/>
        <v>3.4168564920273869E-3</v>
      </c>
      <c r="GK8" s="32">
        <f t="shared" si="2"/>
        <v>4.5402951191828578E-3</v>
      </c>
      <c r="GL8" s="32">
        <f t="shared" si="2"/>
        <v>0</v>
      </c>
      <c r="GM8" s="32">
        <f t="shared" si="2"/>
        <v>-1.1299435028248039E-3</v>
      </c>
      <c r="GN8" s="32">
        <f t="shared" si="2"/>
        <v>1.1312217194570096E-3</v>
      </c>
      <c r="GO8" s="32">
        <f t="shared" si="2"/>
        <v>2.0338983050847137E-3</v>
      </c>
      <c r="GP8" s="32">
        <f t="shared" si="2"/>
        <v>1.9170049616596962E-3</v>
      </c>
      <c r="GQ8" s="32">
        <f t="shared" ref="GQ8:JB11" si="3">GQ2/GP2-1</f>
        <v>2.2509848058538395E-4</v>
      </c>
      <c r="GR8" s="32">
        <f t="shared" si="3"/>
        <v>2.1379543152919567E-3</v>
      </c>
      <c r="GS8" s="32">
        <f t="shared" si="3"/>
        <v>2.9193801931282071E-3</v>
      </c>
      <c r="GT8" s="32">
        <f t="shared" si="3"/>
        <v>4.478280340349805E-4</v>
      </c>
      <c r="GU8" s="32">
        <f t="shared" si="3"/>
        <v>2.0143240823635722E-3</v>
      </c>
      <c r="GV8" s="32">
        <f t="shared" si="3"/>
        <v>1.7869108778199028E-3</v>
      </c>
      <c r="GW8" s="32">
        <f t="shared" si="3"/>
        <v>-1.2263099219620432E-3</v>
      </c>
      <c r="GX8" s="32">
        <f t="shared" si="3"/>
        <v>-1.3394352048220481E-3</v>
      </c>
      <c r="GY8" s="32">
        <f t="shared" si="3"/>
        <v>1.5647703140717617E-3</v>
      </c>
      <c r="GZ8" s="32">
        <f t="shared" si="3"/>
        <v>1.8971096975783919E-3</v>
      </c>
      <c r="HA8" s="32">
        <f t="shared" si="3"/>
        <v>3.3415014479842853E-4</v>
      </c>
      <c r="HB8" s="32">
        <f t="shared" si="3"/>
        <v>-2.2269235051775027E-4</v>
      </c>
      <c r="HC8" s="32">
        <f t="shared" si="3"/>
        <v>1.5591936741286005E-3</v>
      </c>
      <c r="HD8" s="32">
        <f t="shared" si="3"/>
        <v>2.7799399532970615E-3</v>
      </c>
      <c r="HE8" s="32">
        <f t="shared" si="3"/>
        <v>8.8711465956969882E-4</v>
      </c>
      <c r="HF8" s="32">
        <f t="shared" si="3"/>
        <v>1.4402836250830831E-3</v>
      </c>
      <c r="HG8" s="32">
        <f t="shared" si="3"/>
        <v>1.5488438986612785E-3</v>
      </c>
      <c r="HH8" s="32">
        <f t="shared" si="3"/>
        <v>2.3196730365624418E-3</v>
      </c>
      <c r="HI8" s="32">
        <f t="shared" si="3"/>
        <v>2.534714569098595E-3</v>
      </c>
      <c r="HJ8" s="32">
        <f t="shared" si="3"/>
        <v>3.6275695284160303E-3</v>
      </c>
      <c r="HK8" s="32">
        <f t="shared" si="3"/>
        <v>5.8050383351588852E-3</v>
      </c>
      <c r="HL8" s="32">
        <f t="shared" si="3"/>
        <v>2.8313187411521668E-3</v>
      </c>
      <c r="HM8" s="32">
        <f t="shared" si="3"/>
        <v>3.0405038549246033E-3</v>
      </c>
      <c r="HN8" s="32">
        <f t="shared" si="3"/>
        <v>-3.2478077297826147E-4</v>
      </c>
      <c r="HO8" s="32">
        <f t="shared" si="3"/>
        <v>4.5484080571800423E-3</v>
      </c>
      <c r="HP8" s="32">
        <f t="shared" si="3"/>
        <v>1.401466149202113E-3</v>
      </c>
      <c r="HQ8" s="32">
        <f t="shared" si="3"/>
        <v>3.8755517278501461E-3</v>
      </c>
      <c r="HR8" s="32">
        <f t="shared" si="3"/>
        <v>3.7533512064342744E-3</v>
      </c>
      <c r="HS8" s="32">
        <f t="shared" si="3"/>
        <v>2.2435897435897356E-3</v>
      </c>
      <c r="HT8" s="32">
        <f t="shared" si="3"/>
        <v>-2.2385673169172948E-3</v>
      </c>
      <c r="HU8" s="32">
        <f t="shared" si="3"/>
        <v>1.175213675213671E-3</v>
      </c>
      <c r="HV8" s="32">
        <f t="shared" si="3"/>
        <v>5.3356098602086455E-4</v>
      </c>
      <c r="HW8" s="32">
        <f t="shared" si="3"/>
        <v>-4.4795221843003663E-3</v>
      </c>
      <c r="HX8" s="32">
        <f t="shared" si="3"/>
        <v>-3.5354617527318943E-3</v>
      </c>
      <c r="HY8" s="32">
        <f t="shared" si="3"/>
        <v>2.1503064186645382E-4</v>
      </c>
      <c r="HZ8" s="32">
        <f t="shared" si="3"/>
        <v>9.6742986133513398E-4</v>
      </c>
      <c r="IA8" s="32">
        <f t="shared" si="3"/>
        <v>-1.5034364261168331E-3</v>
      </c>
      <c r="IB8" s="32">
        <f t="shared" si="3"/>
        <v>1.0755001075479775E-4</v>
      </c>
      <c r="IC8" s="32">
        <f t="shared" si="3"/>
        <v>2.1507688998823049E-4</v>
      </c>
      <c r="ID8" s="32">
        <f t="shared" si="3"/>
        <v>1.3976991721320609E-3</v>
      </c>
      <c r="IE8" s="32">
        <f t="shared" si="3"/>
        <v>1.0736525660304252E-4</v>
      </c>
      <c r="IF8" s="32">
        <f t="shared" si="3"/>
        <v>3.0059044551797864E-3</v>
      </c>
      <c r="IG8" s="32">
        <f t="shared" si="3"/>
        <v>-2.1406400513768187E-4</v>
      </c>
      <c r="IH8" s="32">
        <f t="shared" si="3"/>
        <v>1.8199336259501209E-3</v>
      </c>
      <c r="II8" s="32">
        <f t="shared" si="3"/>
        <v>1.6029066039753292E-3</v>
      </c>
      <c r="IJ8" s="32">
        <f t="shared" si="3"/>
        <v>1.066894270777663E-3</v>
      </c>
      <c r="IK8" s="32">
        <f t="shared" si="3"/>
        <v>2.4512416071620358E-3</v>
      </c>
      <c r="IL8" s="32">
        <f t="shared" si="3"/>
        <v>2.5515628322347883E-3</v>
      </c>
      <c r="IM8" s="32">
        <f t="shared" si="3"/>
        <v>8.4835630964996689E-4</v>
      </c>
      <c r="IN8" s="32">
        <f t="shared" si="3"/>
        <v>1.6952744225473548E-3</v>
      </c>
      <c r="IO8" s="32">
        <f t="shared" si="3"/>
        <v>3.1732599957678964E-4</v>
      </c>
      <c r="IP8" s="32">
        <f t="shared" si="3"/>
        <v>0</v>
      </c>
      <c r="IQ8" s="32">
        <f t="shared" si="3"/>
        <v>1.797610235804159E-3</v>
      </c>
      <c r="IR8" s="32">
        <f t="shared" si="3"/>
        <v>-2.1110407430857681E-4</v>
      </c>
      <c r="IS8" s="32">
        <f t="shared" si="3"/>
        <v>1.9003378378379399E-3</v>
      </c>
      <c r="IT8" s="32">
        <f t="shared" si="3"/>
        <v>1.6859852476289738E-3</v>
      </c>
      <c r="IU8" s="32">
        <f t="shared" si="3"/>
        <v>1.6831474857983419E-3</v>
      </c>
      <c r="IV8" s="32">
        <f t="shared" si="3"/>
        <v>2.6254988447804717E-3</v>
      </c>
      <c r="IW8" s="32">
        <f t="shared" si="3"/>
        <v>2.513878705352468E-3</v>
      </c>
      <c r="IX8" s="32">
        <f t="shared" si="3"/>
        <v>1.5672343537771471E-3</v>
      </c>
      <c r="IY8" s="32">
        <f t="shared" si="3"/>
        <v>3.6511579386604431E-3</v>
      </c>
      <c r="IZ8" s="32">
        <f t="shared" si="3"/>
        <v>3.0142396840246999E-3</v>
      </c>
      <c r="JA8" s="32">
        <f t="shared" si="3"/>
        <v>1.0362694300525277E-4</v>
      </c>
      <c r="JB8" s="32">
        <f t="shared" si="3"/>
        <v>1.0361620557455264E-3</v>
      </c>
      <c r="JC8" s="32">
        <f t="shared" ref="JC8:LN11" si="4">JC2/JB2-1</f>
        <v>-1.035089535245115E-4</v>
      </c>
      <c r="JD8" s="32">
        <f t="shared" si="4"/>
        <v>2.2774327122152549E-3</v>
      </c>
      <c r="JE8" s="32">
        <f t="shared" si="4"/>
        <v>2.2722577979756853E-3</v>
      </c>
      <c r="JF8" s="32">
        <f t="shared" si="4"/>
        <v>2.4732069249793209E-3</v>
      </c>
      <c r="JG8" s="32">
        <f t="shared" si="4"/>
        <v>3.4950657894736725E-3</v>
      </c>
      <c r="JH8" s="32">
        <f t="shared" si="4"/>
        <v>1.946322474902562E-3</v>
      </c>
      <c r="JI8" s="32">
        <f t="shared" si="4"/>
        <v>1.738063592679806E-3</v>
      </c>
      <c r="JJ8" s="32">
        <f t="shared" si="4"/>
        <v>8.1649316186971355E-4</v>
      </c>
      <c r="JK8" s="32">
        <f t="shared" si="4"/>
        <v>3.3652865592495029E-3</v>
      </c>
      <c r="JL8" s="32">
        <f t="shared" si="4"/>
        <v>1.2196361418843615E-3</v>
      </c>
      <c r="JM8" s="32">
        <f t="shared" si="4"/>
        <v>-8.1210029438638642E-4</v>
      </c>
      <c r="JN8" s="32">
        <f t="shared" si="4"/>
        <v>7.1116529513348681E-4</v>
      </c>
      <c r="JO8" s="32">
        <f t="shared" si="4"/>
        <v>-3.0456852791882483E-4</v>
      </c>
      <c r="JP8" s="32">
        <f t="shared" si="4"/>
        <v>3.3512744998476229E-3</v>
      </c>
      <c r="JQ8" s="32">
        <f t="shared" si="4"/>
        <v>9.1093117408913571E-4</v>
      </c>
      <c r="JR8" s="32">
        <f t="shared" si="4"/>
        <v>1.7190818080696779E-3</v>
      </c>
      <c r="JS8" s="32">
        <f t="shared" si="4"/>
        <v>-6.0569351907935332E-4</v>
      </c>
      <c r="JT8" s="32">
        <f t="shared" si="4"/>
        <v>1.0101010101009056E-3</v>
      </c>
      <c r="JU8" s="32">
        <f t="shared" si="4"/>
        <v>7.0635721493439441E-4</v>
      </c>
      <c r="JV8" s="32">
        <f t="shared" si="4"/>
        <v>-6.050216799435848E-4</v>
      </c>
      <c r="JW8" s="32">
        <f t="shared" si="4"/>
        <v>2.421551811118805E-3</v>
      </c>
      <c r="JX8" s="32">
        <f t="shared" si="4"/>
        <v>-1.4091595369903898E-3</v>
      </c>
      <c r="JY8" s="32">
        <f t="shared" si="4"/>
        <v>2.0159258139318403E-4</v>
      </c>
      <c r="JZ8" s="32">
        <f t="shared" si="4"/>
        <v>1.9147435251436473E-3</v>
      </c>
      <c r="KA8" s="32">
        <f t="shared" si="4"/>
        <v>9.0525045262523918E-4</v>
      </c>
      <c r="KB8" s="32">
        <f t="shared" si="4"/>
        <v>1.2059089538738466E-3</v>
      </c>
      <c r="KC8" s="32">
        <f t="shared" si="4"/>
        <v>1.304827863093605E-3</v>
      </c>
      <c r="KD8" s="32">
        <f t="shared" si="4"/>
        <v>-1.4033680834001361E-3</v>
      </c>
      <c r="KE8" s="32">
        <f t="shared" si="4"/>
        <v>9.0343304557305437E-4</v>
      </c>
      <c r="KF8" s="32">
        <f t="shared" si="4"/>
        <v>1.4040718082439785E-3</v>
      </c>
      <c r="KG8" s="32">
        <f t="shared" si="4"/>
        <v>-3.0045067601403019E-4</v>
      </c>
      <c r="KH8" s="32">
        <f t="shared" si="4"/>
        <v>2.0036064916850727E-3</v>
      </c>
      <c r="KI8" s="32">
        <f t="shared" si="4"/>
        <v>-8.9982003599264893E-4</v>
      </c>
      <c r="KJ8" s="32">
        <f t="shared" si="4"/>
        <v>-2.0014009806879063E-4</v>
      </c>
      <c r="KK8" s="32">
        <f t="shared" si="4"/>
        <v>0</v>
      </c>
      <c r="KL8" s="32">
        <f t="shared" si="4"/>
        <v>-2.0018016214584655E-4</v>
      </c>
      <c r="KM8" s="32">
        <f t="shared" si="4"/>
        <v>6.0066072679942906E-4</v>
      </c>
      <c r="KN8" s="32">
        <f t="shared" si="4"/>
        <v>6.0030015007495052E-4</v>
      </c>
      <c r="KO8" s="32">
        <f t="shared" si="4"/>
        <v>-1.9998000199994426E-4</v>
      </c>
      <c r="KP8" s="32">
        <f t="shared" si="4"/>
        <v>-1.0001000100001711E-4</v>
      </c>
      <c r="KQ8" s="32">
        <f t="shared" si="4"/>
        <v>-3.0006001200244548E-4</v>
      </c>
      <c r="KR8" s="32">
        <f t="shared" si="4"/>
        <v>-1.0005002501251026E-3</v>
      </c>
      <c r="KS8" s="32">
        <f t="shared" si="4"/>
        <v>-4.6069103655482779E-3</v>
      </c>
      <c r="KT8" s="32">
        <f t="shared" si="4"/>
        <v>4.9300734480328678E-3</v>
      </c>
      <c r="KU8" s="32">
        <f t="shared" si="4"/>
        <v>8.0096115338412766E-4</v>
      </c>
      <c r="KV8" s="32">
        <f t="shared" si="4"/>
        <v>1.1004401760703608E-3</v>
      </c>
      <c r="KW8" s="32">
        <f t="shared" si="4"/>
        <v>1.0992305386230417E-3</v>
      </c>
      <c r="KX8" s="32">
        <f t="shared" si="4"/>
        <v>-2.9946097025357332E-4</v>
      </c>
      <c r="KY8" s="32">
        <f t="shared" si="4"/>
        <v>-3.9940089865209139E-4</v>
      </c>
      <c r="KZ8" s="32">
        <f t="shared" si="4"/>
        <v>-4.9945060433520538E-4</v>
      </c>
      <c r="LA8" s="32">
        <f t="shared" si="4"/>
        <v>-5.9964021587044503E-4</v>
      </c>
      <c r="LB8" s="32">
        <f t="shared" si="4"/>
        <v>5.9999999999993392E-4</v>
      </c>
      <c r="LC8" s="32">
        <f t="shared" si="4"/>
        <v>-4.9970017989198201E-4</v>
      </c>
      <c r="LD8" s="32">
        <f t="shared" si="4"/>
        <v>6.9993000699919428E-4</v>
      </c>
      <c r="LE8" s="32">
        <f t="shared" si="4"/>
        <v>-4.7961630695444457E-3</v>
      </c>
      <c r="LF8" s="32">
        <f t="shared" si="4"/>
        <v>1.4056224899599012E-3</v>
      </c>
      <c r="LG8" s="32">
        <f t="shared" si="4"/>
        <v>1.0026067776218728E-3</v>
      </c>
      <c r="LH8" s="32">
        <f t="shared" si="4"/>
        <v>5.0080128205132191E-4</v>
      </c>
      <c r="LI8" s="32">
        <f t="shared" si="4"/>
        <v>2.7029732705976528E-3</v>
      </c>
      <c r="LJ8" s="32">
        <f t="shared" si="4"/>
        <v>1.6972843450480113E-3</v>
      </c>
      <c r="LK8" s="32">
        <f t="shared" si="4"/>
        <v>-1.9934217083616979E-4</v>
      </c>
      <c r="LL8" s="32">
        <f t="shared" si="4"/>
        <v>-2.9907287409036698E-4</v>
      </c>
      <c r="LM8" s="32">
        <f t="shared" si="4"/>
        <v>1.0969285999202771E-3</v>
      </c>
      <c r="LN8" s="32">
        <f t="shared" si="4"/>
        <v>3.9844606036454344E-4</v>
      </c>
      <c r="LO8" s="32">
        <f t="shared" ref="LO8:NZ11" si="5">LO2/LN2-1</f>
        <v>1.0952902519167917E-3</v>
      </c>
      <c r="LP8" s="32">
        <f t="shared" si="5"/>
        <v>1.6908693057489099E-3</v>
      </c>
      <c r="LQ8" s="32">
        <f t="shared" si="5"/>
        <v>1.7873100983021306E-3</v>
      </c>
      <c r="LR8" s="32">
        <f t="shared" si="5"/>
        <v>6.9382495787495557E-4</v>
      </c>
      <c r="LS8" s="32">
        <f t="shared" si="5"/>
        <v>4.9524564183855979E-4</v>
      </c>
      <c r="LT8" s="32">
        <f t="shared" si="5"/>
        <v>5.9400059400038785E-4</v>
      </c>
      <c r="LU8" s="32">
        <f t="shared" si="5"/>
        <v>-8.9047195013347569E-4</v>
      </c>
      <c r="LV8" s="32">
        <f t="shared" si="5"/>
        <v>4.9514755397095378E-4</v>
      </c>
      <c r="LW8" s="32">
        <f t="shared" si="5"/>
        <v>-1.9796100168267827E-4</v>
      </c>
      <c r="LX8" s="32">
        <f t="shared" si="5"/>
        <v>1.683001683001617E-3</v>
      </c>
      <c r="LY8" s="32">
        <f t="shared" si="5"/>
        <v>1.8778414706464019E-3</v>
      </c>
      <c r="LZ8" s="32">
        <f t="shared" si="5"/>
        <v>1.2824306994179135E-3</v>
      </c>
      <c r="MA8" s="32">
        <f t="shared" si="5"/>
        <v>2.068965517241228E-3</v>
      </c>
      <c r="MB8" s="32">
        <f t="shared" si="5"/>
        <v>1.8680562383248667E-3</v>
      </c>
      <c r="MC8" s="32">
        <f t="shared" si="5"/>
        <v>2.9440628066732533E-3</v>
      </c>
      <c r="MD8" s="32">
        <f t="shared" si="5"/>
        <v>-5.8708414872798986E-4</v>
      </c>
      <c r="ME8" s="32">
        <f t="shared" si="5"/>
        <v>4.4057176424514566E-3</v>
      </c>
      <c r="MF8" s="32">
        <f t="shared" si="5"/>
        <v>1.3646554245052567E-3</v>
      </c>
      <c r="MG8" s="32">
        <f t="shared" si="5"/>
        <v>3.2123040981213435E-3</v>
      </c>
      <c r="MH8" s="32">
        <f t="shared" si="5"/>
        <v>3.881234232485653E-4</v>
      </c>
      <c r="MI8" s="32">
        <f t="shared" si="5"/>
        <v>2.0368574199807199E-3</v>
      </c>
      <c r="MJ8" s="32">
        <f t="shared" si="5"/>
        <v>1.3551447100959013E-3</v>
      </c>
      <c r="MK8" s="32">
        <f t="shared" si="5"/>
        <v>1.6433059449010301E-3</v>
      </c>
      <c r="ML8" s="32">
        <f t="shared" si="5"/>
        <v>1.351090523065146E-3</v>
      </c>
      <c r="MM8" s="32">
        <f t="shared" si="5"/>
        <v>-1.5420200462606948E-3</v>
      </c>
      <c r="MN8" s="32">
        <f t="shared" si="5"/>
        <v>-8.6872586872577262E-4</v>
      </c>
      <c r="MO8" s="32">
        <f t="shared" si="5"/>
        <v>-9.6609023282778761E-4</v>
      </c>
      <c r="MP8" s="32">
        <f t="shared" si="5"/>
        <v>3.8680978628757856E-4</v>
      </c>
      <c r="MQ8" s="32">
        <f t="shared" si="5"/>
        <v>2.803286611889666E-3</v>
      </c>
      <c r="MR8" s="32">
        <f t="shared" si="5"/>
        <v>3.0846346635819977E-3</v>
      </c>
      <c r="MS8" s="32">
        <f t="shared" si="5"/>
        <v>9.60984047664315E-5</v>
      </c>
      <c r="MT8" s="32">
        <f t="shared" si="5"/>
        <v>2.594407610262417E-3</v>
      </c>
      <c r="MU8" s="32">
        <f t="shared" si="5"/>
        <v>5.7504312823453141E-4</v>
      </c>
      <c r="MV8" s="32">
        <f t="shared" si="5"/>
        <v>1.245210727969237E-3</v>
      </c>
      <c r="MW8" s="32">
        <f t="shared" si="5"/>
        <v>7.6533052712135508E-4</v>
      </c>
      <c r="MX8" s="32">
        <f t="shared" si="5"/>
        <v>-1.9118631106007644E-4</v>
      </c>
      <c r="MY8" s="32">
        <f t="shared" si="5"/>
        <v>8.6050291614880869E-4</v>
      </c>
      <c r="MZ8" s="32">
        <f t="shared" si="5"/>
        <v>3.5345815819640691E-3</v>
      </c>
      <c r="NA8" s="32">
        <f t="shared" si="5"/>
        <v>-1.6182770109471889E-3</v>
      </c>
      <c r="NB8" s="32">
        <f t="shared" si="5"/>
        <v>-2.8604118993136307E-4</v>
      </c>
      <c r="NC8" s="32">
        <f t="shared" si="5"/>
        <v>-4.1964711492608053E-3</v>
      </c>
      <c r="ND8" s="32">
        <f t="shared" si="5"/>
        <v>-1.9155253328217992E-4</v>
      </c>
      <c r="NE8" s="32">
        <f t="shared" si="5"/>
        <v>8.6215154708302322E-4</v>
      </c>
      <c r="NF8" s="32">
        <f t="shared" si="5"/>
        <v>9.5712098009181901E-4</v>
      </c>
      <c r="NG8" s="32">
        <f t="shared" si="5"/>
        <v>5.8328552304456327E-3</v>
      </c>
      <c r="NH8" s="32">
        <f t="shared" si="5"/>
        <v>-4.3730392622872705E-3</v>
      </c>
      <c r="NI8" s="32">
        <f t="shared" si="5"/>
        <v>-8.5935262102554422E-4</v>
      </c>
      <c r="NJ8" s="32">
        <f t="shared" si="5"/>
        <v>-3.822629969419955E-4</v>
      </c>
      <c r="NK8" s="32">
        <f t="shared" si="5"/>
        <v>1.7208413001912337E-3</v>
      </c>
      <c r="NL8" s="32">
        <f t="shared" si="5"/>
        <v>1.2406947890819531E-3</v>
      </c>
      <c r="NM8" s="32">
        <f t="shared" si="5"/>
        <v>5.1472690877896188E-3</v>
      </c>
      <c r="NN8" s="32">
        <f t="shared" si="5"/>
        <v>-9.4831673779105508E-5</v>
      </c>
      <c r="NO8" s="32">
        <f t="shared" si="5"/>
        <v>1.3277693474962327E-3</v>
      </c>
      <c r="NP8" s="32">
        <f t="shared" si="5"/>
        <v>1.6101534381511851E-3</v>
      </c>
      <c r="NQ8" s="32">
        <f t="shared" si="5"/>
        <v>2.1749408983451346E-3</v>
      </c>
      <c r="NR8" s="32">
        <f t="shared" si="5"/>
        <v>1.8871485185885106E-3</v>
      </c>
      <c r="NS8" s="32">
        <f t="shared" si="5"/>
        <v>3.2021096251646508E-3</v>
      </c>
      <c r="NT8" s="32">
        <f t="shared" si="5"/>
        <v>3.1918888471649254E-3</v>
      </c>
      <c r="NU8" s="32">
        <f t="shared" si="5"/>
        <v>-9.3580385551184087E-5</v>
      </c>
      <c r="NV8" s="32">
        <f t="shared" si="5"/>
        <v>4.4922788956480719E-3</v>
      </c>
      <c r="NW8" s="32">
        <f t="shared" si="5"/>
        <v>2.5156060747226761E-3</v>
      </c>
      <c r="NX8" s="32">
        <f t="shared" si="5"/>
        <v>1.8587360594795044E-3</v>
      </c>
      <c r="NY8" s="32">
        <f t="shared" si="5"/>
        <v>6.4007421150278354E-3</v>
      </c>
      <c r="NZ8" s="32">
        <f t="shared" si="5"/>
        <v>7.3739515162689617E-3</v>
      </c>
      <c r="OA8" s="32">
        <f t="shared" ref="OA8:OA10" si="6">OA2/NZ2-1</f>
        <v>9.6989660536186406E-3</v>
      </c>
    </row>
    <row r="9" spans="1:391" ht="22.8" x14ac:dyDescent="0.3">
      <c r="A9" s="26" t="s">
        <v>437</v>
      </c>
      <c r="B9" s="26" t="s">
        <v>438</v>
      </c>
      <c r="C9" s="26" t="s">
        <v>413</v>
      </c>
      <c r="D9" s="26" t="s">
        <v>414</v>
      </c>
      <c r="E9" s="28"/>
      <c r="F9" s="32">
        <f t="shared" ref="F9:U11" si="7">F3/E3-1</f>
        <v>2.8007075471698784E-3</v>
      </c>
      <c r="G9" s="32">
        <f t="shared" si="7"/>
        <v>2.9398794649420079E-3</v>
      </c>
      <c r="H9" s="32">
        <f t="shared" si="7"/>
        <v>6.3022131027405948E-3</v>
      </c>
      <c r="I9" s="32">
        <f t="shared" si="7"/>
        <v>1.7477424992717872E-3</v>
      </c>
      <c r="J9" s="32">
        <f t="shared" si="7"/>
        <v>2.9078220412914746E-4</v>
      </c>
      <c r="K9" s="32">
        <f t="shared" si="7"/>
        <v>2.9069767441858296E-4</v>
      </c>
      <c r="L9" s="32">
        <f t="shared" si="7"/>
        <v>2.7608253414705963E-3</v>
      </c>
      <c r="M9" s="32">
        <f t="shared" si="7"/>
        <v>2.753224170410018E-3</v>
      </c>
      <c r="N9" s="32">
        <f t="shared" si="7"/>
        <v>2.6011560693639524E-3</v>
      </c>
      <c r="O9" s="32">
        <f t="shared" si="7"/>
        <v>1.1530700490054446E-3</v>
      </c>
      <c r="P9" s="32">
        <f t="shared" si="7"/>
        <v>1.1517420097899578E-3</v>
      </c>
      <c r="Q9" s="32">
        <f t="shared" si="7"/>
        <v>5.8958872591314826E-3</v>
      </c>
      <c r="R9" s="32">
        <f t="shared" si="7"/>
        <v>3.2880629020730634E-3</v>
      </c>
      <c r="S9" s="32">
        <f t="shared" si="7"/>
        <v>3.7047591906524957E-3</v>
      </c>
      <c r="T9" s="32">
        <f t="shared" si="7"/>
        <v>3.8330494037477347E-3</v>
      </c>
      <c r="U9" s="32">
        <f t="shared" si="7"/>
        <v>2.9698769622401588E-3</v>
      </c>
      <c r="V9" s="32">
        <f t="shared" si="0"/>
        <v>2.256063169768785E-3</v>
      </c>
      <c r="W9" s="32">
        <f t="shared" si="0"/>
        <v>2.5323579065841262E-3</v>
      </c>
      <c r="X9" s="32">
        <f t="shared" si="0"/>
        <v>7.0165590794268873E-4</v>
      </c>
      <c r="Y9" s="32">
        <f t="shared" si="0"/>
        <v>1.542560650680036E-3</v>
      </c>
      <c r="Z9" s="32">
        <f t="shared" si="0"/>
        <v>5.6006720806496268E-3</v>
      </c>
      <c r="AA9" s="32">
        <f t="shared" si="0"/>
        <v>3.6201615148985233E-3</v>
      </c>
      <c r="AB9" s="32">
        <f t="shared" si="0"/>
        <v>-2.635960044395036E-3</v>
      </c>
      <c r="AC9" s="32">
        <f t="shared" si="0"/>
        <v>2.9211295034079487E-3</v>
      </c>
      <c r="AD9" s="32">
        <f t="shared" si="0"/>
        <v>4.5769764216367914E-3</v>
      </c>
      <c r="AE9" s="32">
        <f t="shared" si="0"/>
        <v>3.5896727875188716E-3</v>
      </c>
      <c r="AF9" s="32">
        <f t="shared" si="0"/>
        <v>2.4762690879076565E-3</v>
      </c>
      <c r="AG9" s="32">
        <f t="shared" si="0"/>
        <v>3.4307671195279443E-3</v>
      </c>
      <c r="AH9" s="32">
        <f t="shared" si="0"/>
        <v>-8.2056892778992196E-4</v>
      </c>
      <c r="AI9" s="32">
        <f t="shared" si="0"/>
        <v>-4.1062140706271677E-4</v>
      </c>
      <c r="AJ9" s="32">
        <f t="shared" si="0"/>
        <v>-4.1079008626598856E-4</v>
      </c>
      <c r="AK9" s="32">
        <f t="shared" si="0"/>
        <v>3.6986301369863472E-3</v>
      </c>
      <c r="AL9" s="32">
        <f t="shared" si="0"/>
        <v>2.729630135116734E-3</v>
      </c>
      <c r="AM9" s="32">
        <f t="shared" si="0"/>
        <v>8.166598611678566E-4</v>
      </c>
      <c r="AN9" s="32">
        <f t="shared" si="0"/>
        <v>-4.0799673602609499E-4</v>
      </c>
      <c r="AO9" s="32">
        <f t="shared" si="0"/>
        <v>4.2176870748300566E-3</v>
      </c>
      <c r="AP9" s="32">
        <f t="shared" si="0"/>
        <v>3.3870749220972218E-3</v>
      </c>
      <c r="AQ9" s="32">
        <f t="shared" si="0"/>
        <v>5.1309748852281789E-3</v>
      </c>
      <c r="AR9" s="32">
        <f t="shared" si="0"/>
        <v>1.0746910263299547E-3</v>
      </c>
      <c r="AS9" s="32">
        <f t="shared" si="0"/>
        <v>1.6103059581320522E-3</v>
      </c>
      <c r="AT9" s="32">
        <f t="shared" si="0"/>
        <v>-4.01929260450129E-4</v>
      </c>
      <c r="AU9" s="32">
        <f t="shared" si="0"/>
        <v>-8.041817450744615E-4</v>
      </c>
      <c r="AV9" s="32">
        <f t="shared" si="0"/>
        <v>-9.3896713615015948E-4</v>
      </c>
      <c r="AW9" s="32">
        <f t="shared" si="0"/>
        <v>3.3566058002147958E-3</v>
      </c>
      <c r="AX9" s="32">
        <f t="shared" si="0"/>
        <v>2.0072260136489994E-3</v>
      </c>
      <c r="AY9" s="32">
        <f t="shared" si="0"/>
        <v>8.0128205128215946E-4</v>
      </c>
      <c r="AZ9" s="32">
        <f t="shared" si="0"/>
        <v>0</v>
      </c>
      <c r="BA9" s="32">
        <f t="shared" si="0"/>
        <v>1.334400854016593E-3</v>
      </c>
      <c r="BB9" s="32">
        <f t="shared" si="0"/>
        <v>2.9317697228143924E-3</v>
      </c>
      <c r="BC9" s="32">
        <f t="shared" si="0"/>
        <v>2.6574541589157175E-3</v>
      </c>
      <c r="BD9" s="32">
        <f t="shared" si="0"/>
        <v>2.7829313543601408E-3</v>
      </c>
      <c r="BE9" s="32">
        <f t="shared" si="0"/>
        <v>2.378749834808902E-3</v>
      </c>
      <c r="BF9" s="32">
        <f t="shared" si="0"/>
        <v>-3.9551746868826676E-4</v>
      </c>
      <c r="BG9" s="32">
        <f t="shared" si="0"/>
        <v>0</v>
      </c>
      <c r="BH9" s="32">
        <f t="shared" si="0"/>
        <v>-5.2756528620401255E-4</v>
      </c>
      <c r="BI9" s="32">
        <f t="shared" si="0"/>
        <v>3.694906307732948E-3</v>
      </c>
      <c r="BJ9" s="32">
        <f t="shared" si="0"/>
        <v>2.4980278727320115E-3</v>
      </c>
      <c r="BK9" s="32">
        <f t="shared" si="0"/>
        <v>1.3114754098375592E-4</v>
      </c>
      <c r="BL9" s="32">
        <f t="shared" si="0"/>
        <v>-2.622606871230948E-4</v>
      </c>
      <c r="BM9" s="32">
        <f t="shared" si="0"/>
        <v>1.7051416579225709E-3</v>
      </c>
      <c r="BN9" s="32">
        <f t="shared" si="0"/>
        <v>2.8807123215921493E-3</v>
      </c>
      <c r="BO9" s="32">
        <f t="shared" si="0"/>
        <v>3.5252643948295859E-3</v>
      </c>
      <c r="BP9" s="32">
        <f t="shared" si="0"/>
        <v>1.3010668748372201E-3</v>
      </c>
      <c r="BQ9" s="32">
        <f t="shared" si="0"/>
        <v>1.2993762993764868E-3</v>
      </c>
      <c r="BR9" s="32">
        <f t="shared" si="0"/>
        <v>0</v>
      </c>
      <c r="BS9" s="32">
        <f t="shared" si="1"/>
        <v>-1.4274591227614319E-3</v>
      </c>
      <c r="BT9" s="32">
        <f t="shared" si="1"/>
        <v>4.0285899935021963E-3</v>
      </c>
      <c r="BU9" s="32">
        <f t="shared" si="1"/>
        <v>3.4946932435930833E-3</v>
      </c>
      <c r="BV9" s="32">
        <f t="shared" si="1"/>
        <v>1.160840964787857E-3</v>
      </c>
      <c r="BW9" s="32">
        <f t="shared" si="1"/>
        <v>9.018294254057313E-4</v>
      </c>
      <c r="BX9" s="32">
        <f t="shared" si="1"/>
        <v>5.1486677822132343E-4</v>
      </c>
      <c r="BY9" s="32">
        <f t="shared" si="1"/>
        <v>1.2865045670906738E-4</v>
      </c>
      <c r="BZ9" s="32">
        <f t="shared" si="1"/>
        <v>3.6017494211473267E-3</v>
      </c>
      <c r="CA9" s="32">
        <f t="shared" si="1"/>
        <v>6.4086131761087461E-3</v>
      </c>
      <c r="CB9" s="32">
        <f t="shared" si="1"/>
        <v>5.0942435048395573E-4</v>
      </c>
      <c r="CC9" s="32">
        <f t="shared" si="1"/>
        <v>2.0366598778003286E-3</v>
      </c>
      <c r="CD9" s="32">
        <f t="shared" si="1"/>
        <v>-5.0813008130068393E-4</v>
      </c>
      <c r="CE9" s="32">
        <f t="shared" si="1"/>
        <v>-1.9064565327910898E-3</v>
      </c>
      <c r="CF9" s="32">
        <f t="shared" si="1"/>
        <v>-2.1647777919266975E-3</v>
      </c>
      <c r="CG9" s="32">
        <f t="shared" si="1"/>
        <v>2.1694742215416785E-3</v>
      </c>
      <c r="CH9" s="32">
        <f t="shared" si="1"/>
        <v>1.2733987011332992E-3</v>
      </c>
      <c r="CI9" s="32">
        <f t="shared" si="1"/>
        <v>-1.2717792191274668E-3</v>
      </c>
      <c r="CJ9" s="32">
        <f t="shared" si="1"/>
        <v>1.9100980516999488E-3</v>
      </c>
      <c r="CK9" s="32">
        <f t="shared" si="1"/>
        <v>1.6522623284187521E-3</v>
      </c>
      <c r="CL9" s="32">
        <f t="shared" si="1"/>
        <v>2.2839741149598414E-3</v>
      </c>
      <c r="CM9" s="32">
        <f t="shared" si="1"/>
        <v>1.6457779465757216E-3</v>
      </c>
      <c r="CN9" s="32">
        <f t="shared" si="1"/>
        <v>1.1375126390291701E-3</v>
      </c>
      <c r="CO9" s="32">
        <f t="shared" si="1"/>
        <v>1.893700290367395E-3</v>
      </c>
      <c r="CP9" s="32">
        <f t="shared" si="1"/>
        <v>1.2600806451623647E-4</v>
      </c>
      <c r="CQ9" s="32">
        <f t="shared" si="1"/>
        <v>-1.1339296963588374E-3</v>
      </c>
      <c r="CR9" s="32">
        <f t="shared" si="1"/>
        <v>1.765893037336097E-3</v>
      </c>
      <c r="CS9" s="32">
        <f t="shared" si="1"/>
        <v>2.0146058927221766E-3</v>
      </c>
      <c r="CT9" s="32">
        <f t="shared" si="1"/>
        <v>-7.5395828097513107E-4</v>
      </c>
      <c r="CU9" s="32">
        <f t="shared" si="1"/>
        <v>1.2575452716299118E-3</v>
      </c>
      <c r="CV9" s="32">
        <f t="shared" si="1"/>
        <v>6.2798291886467794E-4</v>
      </c>
      <c r="CW9" s="32">
        <f t="shared" si="1"/>
        <v>-2.886908497552465E-3</v>
      </c>
      <c r="CX9" s="32">
        <f t="shared" si="1"/>
        <v>4.2799597180263049E-3</v>
      </c>
      <c r="CY9" s="32">
        <f t="shared" si="1"/>
        <v>2.6322386563046862E-3</v>
      </c>
      <c r="CZ9" s="32">
        <f t="shared" si="1"/>
        <v>2.2502812851608045E-3</v>
      </c>
      <c r="DA9" s="32">
        <f t="shared" si="1"/>
        <v>1.3720843208182565E-3</v>
      </c>
      <c r="DB9" s="32">
        <f t="shared" si="1"/>
        <v>1.494768310911887E-3</v>
      </c>
      <c r="DC9" s="32">
        <f t="shared" si="1"/>
        <v>-3.2338308457712239E-3</v>
      </c>
      <c r="DD9" s="32">
        <f t="shared" si="1"/>
        <v>1.123034689293867E-3</v>
      </c>
      <c r="DE9" s="32">
        <f t="shared" si="1"/>
        <v>-2.4928331048246211E-4</v>
      </c>
      <c r="DF9" s="32">
        <f t="shared" si="1"/>
        <v>-8.7270913851134058E-4</v>
      </c>
      <c r="DG9" s="32">
        <f t="shared" si="1"/>
        <v>-2.4956326428748898E-4</v>
      </c>
      <c r="DH9" s="32">
        <f t="shared" si="1"/>
        <v>1.4977533699449541E-3</v>
      </c>
      <c r="DI9" s="32">
        <f t="shared" si="1"/>
        <v>-2.3678963110668194E-3</v>
      </c>
      <c r="DJ9" s="32">
        <f t="shared" si="1"/>
        <v>3.3728919425357606E-3</v>
      </c>
      <c r="DK9" s="32">
        <f t="shared" si="1"/>
        <v>3.1125498007968933E-3</v>
      </c>
      <c r="DL9" s="32">
        <f t="shared" si="1"/>
        <v>1.7376194613378804E-3</v>
      </c>
      <c r="DM9" s="32">
        <f t="shared" si="1"/>
        <v>4.956015363648536E-4</v>
      </c>
      <c r="DN9" s="32">
        <f t="shared" si="1"/>
        <v>1.2383900928791824E-4</v>
      </c>
      <c r="DO9" s="32">
        <f t="shared" si="1"/>
        <v>-3.9623576027737473E-3</v>
      </c>
      <c r="DP9" s="32">
        <f t="shared" si="1"/>
        <v>4.9726504226765833E-4</v>
      </c>
      <c r="DQ9" s="32">
        <f t="shared" si="1"/>
        <v>7.4552683896622618E-4</v>
      </c>
      <c r="DR9" s="32">
        <f t="shared" si="1"/>
        <v>1.2416190712682962E-4</v>
      </c>
      <c r="DS9" s="32">
        <f t="shared" si="1"/>
        <v>0</v>
      </c>
      <c r="DT9" s="32">
        <f t="shared" si="1"/>
        <v>1.9863438857852245E-3</v>
      </c>
      <c r="DU9" s="32">
        <f t="shared" si="1"/>
        <v>-8.6730268863821625E-4</v>
      </c>
      <c r="DV9" s="32">
        <f t="shared" si="1"/>
        <v>6.2003968253954156E-4</v>
      </c>
      <c r="DW9" s="32">
        <f t="shared" si="1"/>
        <v>3.5940017350353237E-3</v>
      </c>
      <c r="DX9" s="32">
        <f t="shared" si="1"/>
        <v>9.8789824648060076E-4</v>
      </c>
      <c r="DY9" s="32">
        <f t="shared" si="1"/>
        <v>1.2336540833950416E-3</v>
      </c>
      <c r="DZ9" s="32">
        <f t="shared" si="1"/>
        <v>1.2321340561853855E-3</v>
      </c>
      <c r="EA9" s="32">
        <f t="shared" si="1"/>
        <v>-2.2151119862171553E-3</v>
      </c>
      <c r="EB9" s="32">
        <f t="shared" si="1"/>
        <v>2.0966946225950966E-3</v>
      </c>
      <c r="EC9" s="32">
        <f t="shared" si="1"/>
        <v>1.4769230769231534E-3</v>
      </c>
      <c r="ED9" s="32">
        <f t="shared" si="1"/>
        <v>8.6026791200688457E-4</v>
      </c>
      <c r="EE9" s="32">
        <f t="shared" si="2"/>
        <v>1.1051080550099623E-3</v>
      </c>
      <c r="EF9" s="32">
        <f t="shared" si="2"/>
        <v>1.2265423770390083E-3</v>
      </c>
      <c r="EG9" s="32">
        <f t="shared" si="2"/>
        <v>-3.675119441381991E-4</v>
      </c>
      <c r="EH9" s="32">
        <f t="shared" si="2"/>
        <v>2.3284313725491224E-3</v>
      </c>
      <c r="EI9" s="32">
        <f t="shared" si="2"/>
        <v>5.0128377552267622E-3</v>
      </c>
      <c r="EJ9" s="32">
        <f t="shared" si="2"/>
        <v>4.3795620437956373E-3</v>
      </c>
      <c r="EK9" s="32">
        <f t="shared" si="2"/>
        <v>4.1182170542635177E-3</v>
      </c>
      <c r="EL9" s="32">
        <f t="shared" si="2"/>
        <v>7.237635705668044E-4</v>
      </c>
      <c r="EM9" s="32">
        <f t="shared" si="2"/>
        <v>-6.0270009643192957E-4</v>
      </c>
      <c r="EN9" s="32">
        <f t="shared" si="2"/>
        <v>1.326739838378943E-3</v>
      </c>
      <c r="EO9" s="32">
        <f t="shared" si="2"/>
        <v>1.2045290291498034E-3</v>
      </c>
      <c r="EP9" s="32">
        <f t="shared" si="2"/>
        <v>1.8046198267565039E-3</v>
      </c>
      <c r="EQ9" s="32">
        <f t="shared" si="2"/>
        <v>-1.6812777711060489E-3</v>
      </c>
      <c r="ER9" s="32">
        <f t="shared" si="2"/>
        <v>2.7667508721280765E-3</v>
      </c>
      <c r="ES9" s="32">
        <f t="shared" si="2"/>
        <v>5.0383877159310142E-3</v>
      </c>
      <c r="ET9" s="32">
        <f t="shared" si="2"/>
        <v>1.3129625208880835E-3</v>
      </c>
      <c r="EU9" s="32">
        <f t="shared" si="2"/>
        <v>3.933722732149203E-3</v>
      </c>
      <c r="EV9" s="32">
        <f t="shared" si="2"/>
        <v>2.3747328425551828E-3</v>
      </c>
      <c r="EW9" s="32">
        <f t="shared" si="2"/>
        <v>1.6583747927032544E-3</v>
      </c>
      <c r="EX9" s="32">
        <f t="shared" si="2"/>
        <v>8.2781456953640031E-4</v>
      </c>
      <c r="EY9" s="32">
        <f t="shared" si="2"/>
        <v>3.5448422545192315E-4</v>
      </c>
      <c r="EZ9" s="32">
        <f t="shared" si="2"/>
        <v>1.4174344436570507E-3</v>
      </c>
      <c r="FA9" s="32">
        <f t="shared" si="2"/>
        <v>9.4361877801363292E-4</v>
      </c>
      <c r="FB9" s="32">
        <f t="shared" si="2"/>
        <v>9.4272920103688485E-4</v>
      </c>
      <c r="FC9" s="32">
        <f t="shared" si="2"/>
        <v>8.2411113727354213E-4</v>
      </c>
      <c r="FD9" s="32">
        <f t="shared" si="2"/>
        <v>1.6468650746970237E-3</v>
      </c>
      <c r="FE9" s="32">
        <f t="shared" si="2"/>
        <v>3.5231943628888374E-4</v>
      </c>
      <c r="FF9" s="32">
        <f t="shared" si="2"/>
        <v>5.8699225170226743E-3</v>
      </c>
      <c r="FG9" s="32">
        <f t="shared" si="2"/>
        <v>3.0345471521942002E-3</v>
      </c>
      <c r="FH9" s="32">
        <f t="shared" si="2"/>
        <v>1.8617640214102504E-3</v>
      </c>
      <c r="FI9" s="32">
        <f t="shared" si="2"/>
        <v>9.2915214866451379E-4</v>
      </c>
      <c r="FJ9" s="32">
        <f t="shared" si="2"/>
        <v>2.4367602692039192E-3</v>
      </c>
      <c r="FK9" s="32">
        <f t="shared" si="2"/>
        <v>-1.9678203495775426E-3</v>
      </c>
      <c r="FL9" s="32">
        <f t="shared" si="2"/>
        <v>1.9717003015542467E-3</v>
      </c>
      <c r="FM9" s="32">
        <f t="shared" si="2"/>
        <v>3.8198865609444521E-3</v>
      </c>
      <c r="FN9" s="32">
        <f t="shared" si="2"/>
        <v>2.3062730627305683E-3</v>
      </c>
      <c r="FO9" s="32">
        <f t="shared" si="2"/>
        <v>1.495628163828755E-3</v>
      </c>
      <c r="FP9" s="32">
        <f t="shared" si="2"/>
        <v>1.2636415852957938E-3</v>
      </c>
      <c r="FQ9" s="32">
        <f t="shared" si="2"/>
        <v>-8.0312069756760529E-4</v>
      </c>
      <c r="FR9" s="32">
        <f t="shared" si="2"/>
        <v>4.9374210586747846E-3</v>
      </c>
      <c r="FS9" s="32">
        <f t="shared" si="2"/>
        <v>2.856489945155305E-3</v>
      </c>
      <c r="FT9" s="32">
        <f t="shared" si="2"/>
        <v>2.2786829212715354E-3</v>
      </c>
      <c r="FU9" s="32">
        <f t="shared" si="2"/>
        <v>1.5914516312378613E-3</v>
      </c>
      <c r="FV9" s="32">
        <f t="shared" si="2"/>
        <v>1.3619339462036528E-3</v>
      </c>
      <c r="FW9" s="32">
        <f t="shared" si="2"/>
        <v>-1.9267822736031004E-3</v>
      </c>
      <c r="FX9" s="32">
        <f t="shared" si="2"/>
        <v>6.813536225300787E-4</v>
      </c>
      <c r="FY9" s="32">
        <f t="shared" si="2"/>
        <v>7.9437131184745269E-4</v>
      </c>
      <c r="FZ9" s="32">
        <f t="shared" si="2"/>
        <v>3.4017462297319945E-4</v>
      </c>
      <c r="GA9" s="32">
        <f t="shared" si="2"/>
        <v>3.4005894355026989E-4</v>
      </c>
      <c r="GB9" s="32">
        <f t="shared" si="2"/>
        <v>2.1529745042492276E-3</v>
      </c>
      <c r="GC9" s="32">
        <f t="shared" si="2"/>
        <v>-4.4097693351424772E-3</v>
      </c>
      <c r="GD9" s="32">
        <f t="shared" si="2"/>
        <v>5.3378762067006758E-3</v>
      </c>
      <c r="GE9" s="32">
        <f t="shared" si="2"/>
        <v>4.744690465431578E-3</v>
      </c>
      <c r="GF9" s="32">
        <f t="shared" si="2"/>
        <v>4.4974139869591312E-4</v>
      </c>
      <c r="GG9" s="32">
        <f t="shared" si="2"/>
        <v>1.9105416947629017E-3</v>
      </c>
      <c r="GH9" s="32">
        <f t="shared" si="2"/>
        <v>-3.3651149747615516E-4</v>
      </c>
      <c r="GI9" s="32">
        <f t="shared" si="2"/>
        <v>-4.0394973070018159E-3</v>
      </c>
      <c r="GJ9" s="32">
        <f t="shared" si="2"/>
        <v>3.0419107706174398E-3</v>
      </c>
      <c r="GK9" s="32">
        <f t="shared" si="2"/>
        <v>1.1232168931820663E-3</v>
      </c>
      <c r="GL9" s="32">
        <f t="shared" si="2"/>
        <v>-4.4878267698855723E-4</v>
      </c>
      <c r="GM9" s="32">
        <f t="shared" si="2"/>
        <v>4.4898417330774265E-4</v>
      </c>
      <c r="GN9" s="32">
        <f t="shared" si="2"/>
        <v>2.6926960619320095E-3</v>
      </c>
      <c r="GO9" s="32">
        <f t="shared" si="2"/>
        <v>-2.5735705494014383E-3</v>
      </c>
      <c r="GP9" s="32">
        <f t="shared" si="2"/>
        <v>3.7020417321067534E-3</v>
      </c>
      <c r="GQ9" s="32">
        <f t="shared" si="3"/>
        <v>2.6824633955515598E-3</v>
      </c>
      <c r="GR9" s="32">
        <f t="shared" si="3"/>
        <v>2.4523464496712943E-3</v>
      </c>
      <c r="GS9" s="32">
        <f t="shared" si="3"/>
        <v>2.7799399532970615E-3</v>
      </c>
      <c r="GT9" s="32">
        <f t="shared" si="3"/>
        <v>5.5444666223114503E-4</v>
      </c>
      <c r="GU9" s="32">
        <f t="shared" si="3"/>
        <v>-2.5490413388008504E-3</v>
      </c>
      <c r="GV9" s="32">
        <f t="shared" si="3"/>
        <v>3.1111111111110645E-3</v>
      </c>
      <c r="GW9" s="32">
        <f t="shared" si="3"/>
        <v>0</v>
      </c>
      <c r="GX9" s="32">
        <f t="shared" si="3"/>
        <v>3.3229951262736535E-4</v>
      </c>
      <c r="GY9" s="32">
        <f t="shared" si="3"/>
        <v>1.7716753404937169E-3</v>
      </c>
      <c r="GZ9" s="32">
        <f t="shared" si="3"/>
        <v>2.3212114513098125E-3</v>
      </c>
      <c r="HA9" s="32">
        <f t="shared" si="3"/>
        <v>-3.0877812086458345E-3</v>
      </c>
      <c r="HB9" s="32">
        <f t="shared" si="3"/>
        <v>1.8805309734510889E-3</v>
      </c>
      <c r="HC9" s="32">
        <f t="shared" si="3"/>
        <v>3.3123550844651461E-3</v>
      </c>
      <c r="HD9" s="32">
        <f t="shared" si="3"/>
        <v>3.8516562121710951E-3</v>
      </c>
      <c r="HE9" s="32">
        <f t="shared" si="3"/>
        <v>1.6443762332822853E-3</v>
      </c>
      <c r="HF9" s="32">
        <f t="shared" si="3"/>
        <v>9.8500601948114941E-4</v>
      </c>
      <c r="HG9" s="32">
        <f t="shared" si="3"/>
        <v>-3.1707850426414552E-3</v>
      </c>
      <c r="HH9" s="32">
        <f t="shared" si="3"/>
        <v>4.8261489525063261E-3</v>
      </c>
      <c r="HI9" s="32">
        <f t="shared" si="3"/>
        <v>6.5495033293316851E-4</v>
      </c>
      <c r="HJ9" s="32">
        <f t="shared" si="3"/>
        <v>2.1817388458602593E-3</v>
      </c>
      <c r="HK9" s="32">
        <f t="shared" si="3"/>
        <v>2.1769892239031918E-3</v>
      </c>
      <c r="HL9" s="32">
        <f t="shared" si="3"/>
        <v>3.6928424025197693E-3</v>
      </c>
      <c r="HM9" s="32">
        <f t="shared" si="3"/>
        <v>-1.9478411427333864E-3</v>
      </c>
      <c r="HN9" s="32">
        <f t="shared" si="3"/>
        <v>2.7106147674291758E-3</v>
      </c>
      <c r="HO9" s="32">
        <f t="shared" si="3"/>
        <v>5.8391003460207536E-3</v>
      </c>
      <c r="HP9" s="32">
        <f t="shared" si="3"/>
        <v>2.7950978284241312E-3</v>
      </c>
      <c r="HQ9" s="32">
        <f t="shared" si="3"/>
        <v>2.1440823327616432E-3</v>
      </c>
      <c r="HR9" s="32">
        <f t="shared" si="3"/>
        <v>8.5579803166457857E-4</v>
      </c>
      <c r="HS9" s="32">
        <f t="shared" si="3"/>
        <v>-2.565198802907287E-3</v>
      </c>
      <c r="HT9" s="32">
        <f t="shared" si="3"/>
        <v>2.678954136305256E-3</v>
      </c>
      <c r="HU9" s="32">
        <f t="shared" si="3"/>
        <v>-3.2061558191709416E-4</v>
      </c>
      <c r="HV9" s="32">
        <f t="shared" si="3"/>
        <v>2.7795595467179357E-3</v>
      </c>
      <c r="HW9" s="32">
        <f t="shared" si="3"/>
        <v>-3.1982942430708317E-4</v>
      </c>
      <c r="HX9" s="32">
        <f t="shared" si="3"/>
        <v>2.0262344033272761E-3</v>
      </c>
      <c r="HY9" s="32">
        <f t="shared" si="3"/>
        <v>-2.76713495104286E-3</v>
      </c>
      <c r="HZ9" s="32">
        <f t="shared" si="3"/>
        <v>3.7353255069370039E-3</v>
      </c>
      <c r="IA9" s="32">
        <f t="shared" si="3"/>
        <v>3.5087719298245723E-3</v>
      </c>
      <c r="IB9" s="32">
        <f t="shared" si="3"/>
        <v>1.6952744225473548E-3</v>
      </c>
      <c r="IC9" s="32">
        <f t="shared" si="3"/>
        <v>1.4808546646922771E-3</v>
      </c>
      <c r="ID9" s="32">
        <f t="shared" si="3"/>
        <v>-9.5057034220535908E-4</v>
      </c>
      <c r="IE9" s="32">
        <f t="shared" si="3"/>
        <v>-4.0173379849879343E-3</v>
      </c>
      <c r="IF9" s="32">
        <f t="shared" si="3"/>
        <v>4.0335420868273797E-3</v>
      </c>
      <c r="IG9" s="32">
        <f t="shared" si="3"/>
        <v>-2.1143884131514801E-3</v>
      </c>
      <c r="IH9" s="32">
        <f t="shared" si="3"/>
        <v>1.2713211145249925E-3</v>
      </c>
      <c r="II9" s="32">
        <f t="shared" si="3"/>
        <v>-1.0580890911016105E-4</v>
      </c>
      <c r="IJ9" s="32">
        <f t="shared" si="3"/>
        <v>3.280423280423328E-3</v>
      </c>
      <c r="IK9" s="32">
        <f t="shared" si="3"/>
        <v>-4.5353865625989975E-3</v>
      </c>
      <c r="IL9" s="32">
        <f t="shared" si="3"/>
        <v>6.0394151303242438E-3</v>
      </c>
      <c r="IM9" s="32">
        <f t="shared" si="3"/>
        <v>3.5808320168511099E-3</v>
      </c>
      <c r="IN9" s="32">
        <f t="shared" si="3"/>
        <v>6.2965683702365105E-4</v>
      </c>
      <c r="IO9" s="32">
        <f t="shared" si="3"/>
        <v>4.1950707918192442E-4</v>
      </c>
      <c r="IP9" s="32">
        <f t="shared" si="3"/>
        <v>4.193311667890498E-4</v>
      </c>
      <c r="IQ9" s="32">
        <f t="shared" si="3"/>
        <v>-3.0388766635230935E-3</v>
      </c>
      <c r="IR9" s="32">
        <f t="shared" si="3"/>
        <v>2.5225982762244747E-3</v>
      </c>
      <c r="IS9" s="32">
        <f t="shared" si="3"/>
        <v>-1.2581253931640557E-3</v>
      </c>
      <c r="IT9" s="32">
        <f t="shared" si="3"/>
        <v>6.2985513331925702E-4</v>
      </c>
      <c r="IU9" s="32">
        <f t="shared" si="3"/>
        <v>4.1963911036524415E-4</v>
      </c>
      <c r="IV9" s="32">
        <f t="shared" si="3"/>
        <v>3.2508389261745041E-3</v>
      </c>
      <c r="IW9" s="32">
        <f t="shared" si="3"/>
        <v>-5.7489286087591962E-3</v>
      </c>
      <c r="IX9" s="32">
        <f t="shared" si="3"/>
        <v>4.1000841042893033E-3</v>
      </c>
      <c r="IY9" s="32">
        <f t="shared" si="3"/>
        <v>6.7008690189509501E-3</v>
      </c>
      <c r="IZ9" s="32">
        <f t="shared" si="3"/>
        <v>2.4960998439937931E-3</v>
      </c>
      <c r="JA9" s="32">
        <f t="shared" si="3"/>
        <v>1.8674136321195078E-3</v>
      </c>
      <c r="JB9" s="32">
        <f t="shared" si="3"/>
        <v>1.2426219322771992E-3</v>
      </c>
      <c r="JC9" s="32">
        <f t="shared" si="4"/>
        <v>-4.7574723342640457E-3</v>
      </c>
      <c r="JD9" s="32">
        <f t="shared" si="4"/>
        <v>5.2998025563752993E-3</v>
      </c>
      <c r="JE9" s="32">
        <f t="shared" si="4"/>
        <v>-1.5505478602438894E-3</v>
      </c>
      <c r="JF9" s="32">
        <f t="shared" si="4"/>
        <v>2.5882596542086134E-3</v>
      </c>
      <c r="JG9" s="32">
        <f t="shared" si="4"/>
        <v>1.8587360594795044E-3</v>
      </c>
      <c r="JH9" s="32">
        <f t="shared" si="4"/>
        <v>4.432075860647311E-3</v>
      </c>
      <c r="JI9" s="32">
        <f t="shared" si="4"/>
        <v>-6.0543868650589916E-3</v>
      </c>
      <c r="JJ9" s="32">
        <f t="shared" si="4"/>
        <v>3.5102209374355819E-3</v>
      </c>
      <c r="JK9" s="32">
        <f t="shared" si="4"/>
        <v>8.0246913580246382E-3</v>
      </c>
      <c r="JL9" s="32">
        <f t="shared" si="4"/>
        <v>1.3268013880383123E-3</v>
      </c>
      <c r="JM9" s="32">
        <f t="shared" si="4"/>
        <v>9.1733768219359746E-4</v>
      </c>
      <c r="JN9" s="32">
        <f t="shared" si="4"/>
        <v>2.4439918533605276E-3</v>
      </c>
      <c r="JO9" s="32">
        <f t="shared" si="4"/>
        <v>-4.9776513612351803E-3</v>
      </c>
      <c r="JP9" s="32">
        <f t="shared" si="4"/>
        <v>3.77743746809589E-3</v>
      </c>
      <c r="JQ9" s="32">
        <f t="shared" si="4"/>
        <v>-2.4410089503661414E-3</v>
      </c>
      <c r="JR9" s="32">
        <f t="shared" si="4"/>
        <v>2.5489396411093601E-3</v>
      </c>
      <c r="JS9" s="32">
        <f t="shared" si="4"/>
        <v>-5.0849181328183057E-4</v>
      </c>
      <c r="JT9" s="32">
        <f t="shared" si="4"/>
        <v>3.66300366300365E-3</v>
      </c>
      <c r="JU9" s="32">
        <f t="shared" si="4"/>
        <v>-7.1978913219788998E-3</v>
      </c>
      <c r="JV9" s="32">
        <f t="shared" si="4"/>
        <v>1.8380475850097167E-3</v>
      </c>
      <c r="JW9" s="32">
        <f t="shared" si="4"/>
        <v>8.4598919580063381E-3</v>
      </c>
      <c r="JX9" s="32">
        <f t="shared" si="4"/>
        <v>-6.0642813826561337E-4</v>
      </c>
      <c r="JY9" s="32">
        <f t="shared" si="4"/>
        <v>2.2249190938510299E-3</v>
      </c>
      <c r="JZ9" s="32">
        <f t="shared" si="4"/>
        <v>1.7154389505549261E-3</v>
      </c>
      <c r="KA9" s="32">
        <f t="shared" si="4"/>
        <v>-3.5257378865719557E-3</v>
      </c>
      <c r="KB9" s="32">
        <f t="shared" si="4"/>
        <v>3.841488071168575E-3</v>
      </c>
      <c r="KC9" s="32">
        <f t="shared" si="4"/>
        <v>-3.3232628398791597E-3</v>
      </c>
      <c r="KD9" s="32">
        <f t="shared" si="4"/>
        <v>2.020814388197234E-4</v>
      </c>
      <c r="KE9" s="32">
        <f t="shared" si="4"/>
        <v>0</v>
      </c>
      <c r="KF9" s="32">
        <f t="shared" si="4"/>
        <v>3.1316294575209902E-3</v>
      </c>
      <c r="KG9" s="32">
        <f t="shared" si="4"/>
        <v>-6.9486404833836168E-3</v>
      </c>
      <c r="KH9" s="32">
        <f t="shared" si="4"/>
        <v>5.9831660075042592E-3</v>
      </c>
      <c r="KI9" s="32">
        <f t="shared" si="4"/>
        <v>5.4435483870967083E-3</v>
      </c>
      <c r="KJ9" s="32">
        <f t="shared" si="4"/>
        <v>-3.0078203328653963E-4</v>
      </c>
      <c r="KK9" s="32">
        <f t="shared" si="4"/>
        <v>4.0116337378393041E-4</v>
      </c>
      <c r="KL9" s="32">
        <f t="shared" si="4"/>
        <v>-4.0100250626573519E-4</v>
      </c>
      <c r="KM9" s="32">
        <f t="shared" si="4"/>
        <v>-3.5101795206097242E-3</v>
      </c>
      <c r="KN9" s="32">
        <f t="shared" si="4"/>
        <v>5.5354267310789851E-3</v>
      </c>
      <c r="KO9" s="32">
        <f t="shared" si="4"/>
        <v>-4.0036032429185964E-3</v>
      </c>
      <c r="KP9" s="32">
        <f t="shared" si="4"/>
        <v>7.0344688975976233E-4</v>
      </c>
      <c r="KQ9" s="32">
        <f t="shared" si="4"/>
        <v>-1.3054830287205776E-3</v>
      </c>
      <c r="KR9" s="32">
        <f t="shared" si="4"/>
        <v>3.2176973353443827E-3</v>
      </c>
      <c r="KS9" s="32">
        <f t="shared" si="4"/>
        <v>-9.020747719755362E-3</v>
      </c>
      <c r="KT9" s="32">
        <f t="shared" si="4"/>
        <v>5.2594315768179634E-3</v>
      </c>
      <c r="KU9" s="32">
        <f t="shared" si="4"/>
        <v>6.3386658617565761E-3</v>
      </c>
      <c r="KV9" s="32">
        <f t="shared" si="4"/>
        <v>9.9980003999200484E-4</v>
      </c>
      <c r="KW9" s="32">
        <f t="shared" si="4"/>
        <v>1.7978425888931504E-3</v>
      </c>
      <c r="KX9" s="32">
        <f t="shared" si="4"/>
        <v>-3.9880358923227721E-4</v>
      </c>
      <c r="KY9" s="32">
        <f t="shared" si="4"/>
        <v>-3.4909235986435583E-3</v>
      </c>
      <c r="KZ9" s="32">
        <f t="shared" si="4"/>
        <v>5.2046842157942308E-3</v>
      </c>
      <c r="LA9" s="32">
        <f t="shared" si="4"/>
        <v>-3.4850144379170445E-3</v>
      </c>
      <c r="LB9" s="32">
        <f t="shared" si="4"/>
        <v>1.1990407673860837E-3</v>
      </c>
      <c r="LC9" s="32">
        <f t="shared" si="4"/>
        <v>-1.696606786427135E-3</v>
      </c>
      <c r="LD9" s="32">
        <f t="shared" si="4"/>
        <v>3.4989503149054357E-3</v>
      </c>
      <c r="LE9" s="32">
        <f t="shared" si="4"/>
        <v>-9.3644152221558086E-3</v>
      </c>
      <c r="LF9" s="32">
        <f t="shared" si="4"/>
        <v>3.519710378117491E-3</v>
      </c>
      <c r="LG9" s="32">
        <f t="shared" si="4"/>
        <v>6.8143100511073307E-3</v>
      </c>
      <c r="LH9" s="32">
        <f t="shared" si="4"/>
        <v>4.9766099333137248E-4</v>
      </c>
      <c r="LI9" s="32">
        <f t="shared" si="4"/>
        <v>2.6860326303224102E-3</v>
      </c>
      <c r="LJ9" s="32">
        <f t="shared" si="4"/>
        <v>-4.960809604128702E-4</v>
      </c>
      <c r="LK9" s="32">
        <f t="shared" si="4"/>
        <v>-2.8786976374824969E-3</v>
      </c>
      <c r="LL9" s="32">
        <f t="shared" si="4"/>
        <v>4.8780487804878092E-3</v>
      </c>
      <c r="LM9" s="32">
        <f t="shared" si="4"/>
        <v>-3.2692688725975971E-3</v>
      </c>
      <c r="LN9" s="32">
        <f t="shared" si="4"/>
        <v>-7.9514958751614184E-4</v>
      </c>
      <c r="LO9" s="32">
        <f t="shared" si="5"/>
        <v>-8.9525514771715553E-4</v>
      </c>
      <c r="LP9" s="32">
        <f t="shared" si="5"/>
        <v>2.4890481879729087E-3</v>
      </c>
      <c r="LQ9" s="32">
        <f t="shared" si="5"/>
        <v>-6.3561426159499668E-3</v>
      </c>
      <c r="LR9" s="32">
        <f t="shared" si="5"/>
        <v>1.2993503248377447E-3</v>
      </c>
      <c r="LS9" s="32">
        <f t="shared" si="5"/>
        <v>7.4865242563386669E-3</v>
      </c>
      <c r="LT9" s="32">
        <f t="shared" si="5"/>
        <v>1.1889428316653738E-3</v>
      </c>
      <c r="LU9" s="32">
        <f t="shared" si="5"/>
        <v>1.7812963879269006E-3</v>
      </c>
      <c r="LV9" s="32">
        <f t="shared" si="5"/>
        <v>9.8784945174346106E-4</v>
      </c>
      <c r="LW9" s="32">
        <f t="shared" si="5"/>
        <v>-2.7632487910786985E-3</v>
      </c>
      <c r="LX9" s="32">
        <f t="shared" si="5"/>
        <v>4.6511627906977715E-3</v>
      </c>
      <c r="LY9" s="32">
        <f t="shared" si="5"/>
        <v>-2.5610717100077451E-3</v>
      </c>
      <c r="LZ9" s="32">
        <f t="shared" si="5"/>
        <v>1.9751135690304622E-4</v>
      </c>
      <c r="MA9" s="32">
        <f t="shared" si="5"/>
        <v>-9.87361769352324E-5</v>
      </c>
      <c r="MB9" s="32">
        <f t="shared" si="5"/>
        <v>2.962377801915661E-3</v>
      </c>
      <c r="MC9" s="32">
        <f t="shared" si="5"/>
        <v>-5.021167667618287E-3</v>
      </c>
      <c r="MD9" s="32">
        <f t="shared" si="5"/>
        <v>-2.9685335444296079E-4</v>
      </c>
      <c r="ME9" s="32">
        <f t="shared" si="5"/>
        <v>1.1580718598436235E-2</v>
      </c>
      <c r="MF9" s="32">
        <f t="shared" si="5"/>
        <v>9.7847358121327943E-4</v>
      </c>
      <c r="MG9" s="32">
        <f t="shared" si="5"/>
        <v>2.9325513196480912E-3</v>
      </c>
      <c r="MH9" s="32">
        <f t="shared" si="5"/>
        <v>-5.847953216373547E-4</v>
      </c>
      <c r="MI9" s="32">
        <f t="shared" si="5"/>
        <v>-1.4628437682856488E-3</v>
      </c>
      <c r="MJ9" s="32">
        <f t="shared" si="5"/>
        <v>5.2739525344271954E-3</v>
      </c>
      <c r="MK9" s="32">
        <f t="shared" si="5"/>
        <v>-3.1089089672593495E-3</v>
      </c>
      <c r="ML9" s="32">
        <f t="shared" si="5"/>
        <v>-4.8728194133118574E-4</v>
      </c>
      <c r="MM9" s="32">
        <f t="shared" si="5"/>
        <v>-1.6575663026521248E-3</v>
      </c>
      <c r="MN9" s="32">
        <f t="shared" si="5"/>
        <v>2.3439789041899139E-3</v>
      </c>
      <c r="MO9" s="32">
        <f t="shared" si="5"/>
        <v>-3.7026210659650838E-3</v>
      </c>
      <c r="MP9" s="32">
        <f t="shared" si="5"/>
        <v>-5.8679706601472148E-4</v>
      </c>
      <c r="MQ9" s="32">
        <f t="shared" si="5"/>
        <v>7.7306977199336213E-3</v>
      </c>
      <c r="MR9" s="32">
        <f t="shared" si="5"/>
        <v>3.0102932608273569E-3</v>
      </c>
      <c r="MS9" s="32">
        <f t="shared" si="5"/>
        <v>4.8407396650196333E-4</v>
      </c>
      <c r="MT9" s="32">
        <f t="shared" si="5"/>
        <v>2.8062705631894946E-3</v>
      </c>
      <c r="MU9" s="32">
        <f t="shared" si="5"/>
        <v>-1.1579658400076021E-3</v>
      </c>
      <c r="MV9" s="32">
        <f t="shared" si="5"/>
        <v>5.0236692107041847E-3</v>
      </c>
      <c r="MW9" s="32">
        <f t="shared" si="5"/>
        <v>-4.037296933576906E-3</v>
      </c>
      <c r="MX9" s="32">
        <f t="shared" si="5"/>
        <v>-4.8257890165037676E-4</v>
      </c>
      <c r="MY9" s="32">
        <f t="shared" si="5"/>
        <v>4.8281189648502476E-4</v>
      </c>
      <c r="MZ9" s="32">
        <f t="shared" si="5"/>
        <v>4.0536627738636533E-3</v>
      </c>
      <c r="NA9" s="32">
        <f t="shared" si="5"/>
        <v>-4.9985581082380159E-3</v>
      </c>
      <c r="NB9" s="32">
        <f t="shared" si="5"/>
        <v>1.6423533958072056E-3</v>
      </c>
      <c r="NC9" s="32">
        <f t="shared" si="5"/>
        <v>4.050925925925819E-3</v>
      </c>
      <c r="ND9" s="32">
        <f t="shared" si="5"/>
        <v>3.07396733909715E-3</v>
      </c>
      <c r="NE9" s="32">
        <f t="shared" si="5"/>
        <v>3.2560812104960313E-3</v>
      </c>
      <c r="NF9" s="32">
        <f t="shared" si="5"/>
        <v>-5.7273768613974596E-4</v>
      </c>
      <c r="NG9" s="32">
        <f t="shared" si="5"/>
        <v>3.2473734479465666E-3</v>
      </c>
      <c r="NH9" s="32">
        <f t="shared" si="5"/>
        <v>-1.1424219345012032E-3</v>
      </c>
      <c r="NI9" s="32">
        <f t="shared" si="5"/>
        <v>-5.0514677849790024E-3</v>
      </c>
      <c r="NJ9" s="32">
        <f t="shared" si="5"/>
        <v>-5.7476769805542283E-4</v>
      </c>
      <c r="NK9" s="32">
        <f t="shared" si="5"/>
        <v>2.01284386082623E-3</v>
      </c>
      <c r="NL9" s="32">
        <f t="shared" si="5"/>
        <v>9.5657164721640875E-4</v>
      </c>
      <c r="NM9" s="32">
        <f t="shared" si="5"/>
        <v>2.8669724770646887E-4</v>
      </c>
      <c r="NN9" s="32">
        <f t="shared" si="5"/>
        <v>-2.1018438903219749E-3</v>
      </c>
      <c r="NO9" s="32">
        <f t="shared" si="5"/>
        <v>4.7869794159884904E-3</v>
      </c>
      <c r="NP9" s="32">
        <f t="shared" si="5"/>
        <v>1.4292520247736196E-3</v>
      </c>
      <c r="NQ9" s="32">
        <f t="shared" si="5"/>
        <v>2.9495718363463652E-3</v>
      </c>
      <c r="NR9" s="32">
        <f t="shared" si="5"/>
        <v>5.6920595768894522E-4</v>
      </c>
      <c r="NS9" s="32">
        <f t="shared" si="5"/>
        <v>-1.3273916753578918E-3</v>
      </c>
      <c r="NT9" s="32">
        <f t="shared" si="5"/>
        <v>6.0761416500523246E-3</v>
      </c>
      <c r="NU9" s="32">
        <f t="shared" si="5"/>
        <v>-3.585920543550003E-3</v>
      </c>
      <c r="NV9" s="32">
        <f t="shared" si="5"/>
        <v>1.8941187612453447E-4</v>
      </c>
      <c r="NW9" s="32">
        <f t="shared" si="5"/>
        <v>2.5565760818104799E-3</v>
      </c>
      <c r="NX9" s="32">
        <f t="shared" si="5"/>
        <v>3.0222893842086762E-3</v>
      </c>
      <c r="NY9" s="32">
        <f t="shared" si="5"/>
        <v>-9.4161958568816928E-5</v>
      </c>
      <c r="NZ9" s="32">
        <f t="shared" si="5"/>
        <v>4.8027121197853351E-3</v>
      </c>
      <c r="OA9" s="32">
        <f t="shared" si="6"/>
        <v>6.3730084348641025E-3</v>
      </c>
    </row>
    <row r="10" spans="1:391" ht="22.8" x14ac:dyDescent="0.3">
      <c r="A10" s="26" t="s">
        <v>439</v>
      </c>
      <c r="B10" s="26" t="s">
        <v>440</v>
      </c>
      <c r="C10" s="26" t="s">
        <v>413</v>
      </c>
      <c r="D10" s="26" t="s">
        <v>414</v>
      </c>
      <c r="E10" s="28"/>
      <c r="F10" s="32">
        <f t="shared" si="7"/>
        <v>2.0561022176530663E-3</v>
      </c>
      <c r="G10" s="32">
        <f t="shared" ref="G10:BR11" si="8">G4/F4-1</f>
        <v>2.4915726220138268E-3</v>
      </c>
      <c r="H10" s="32">
        <f t="shared" si="8"/>
        <v>5.5555555555555358E-3</v>
      </c>
      <c r="I10" s="32">
        <f t="shared" si="8"/>
        <v>1.599302122710089E-3</v>
      </c>
      <c r="J10" s="32">
        <f t="shared" si="8"/>
        <v>-1.451589490493177E-4</v>
      </c>
      <c r="K10" s="32">
        <f t="shared" si="8"/>
        <v>2.9036004645766056E-4</v>
      </c>
      <c r="L10" s="32">
        <f t="shared" si="8"/>
        <v>6.6763425253990594E-3</v>
      </c>
      <c r="M10" s="32">
        <f t="shared" si="8"/>
        <v>7.2087658592849824E-3</v>
      </c>
      <c r="N10" s="32">
        <f t="shared" si="8"/>
        <v>4.4374463212137893E-3</v>
      </c>
      <c r="O10" s="32">
        <f t="shared" si="8"/>
        <v>-1.7101325352715246E-3</v>
      </c>
      <c r="P10" s="32">
        <f t="shared" si="8"/>
        <v>-7.1377587437537748E-4</v>
      </c>
      <c r="Q10" s="32">
        <f t="shared" si="8"/>
        <v>5.5714285714285605E-3</v>
      </c>
      <c r="R10" s="32">
        <f t="shared" si="8"/>
        <v>2.6992470521380874E-3</v>
      </c>
      <c r="S10" s="32">
        <f t="shared" si="8"/>
        <v>1.9835647492207897E-3</v>
      </c>
      <c r="T10" s="32">
        <f t="shared" si="8"/>
        <v>3.1108597285067763E-3</v>
      </c>
      <c r="U10" s="32">
        <f t="shared" si="8"/>
        <v>3.242176487172399E-3</v>
      </c>
      <c r="V10" s="32">
        <f t="shared" si="8"/>
        <v>2.3886469017844192E-3</v>
      </c>
      <c r="W10" s="32">
        <f t="shared" si="8"/>
        <v>2.6633024950939443E-3</v>
      </c>
      <c r="X10" s="32">
        <f t="shared" si="8"/>
        <v>1.2582133370613313E-3</v>
      </c>
      <c r="Y10" s="32">
        <f t="shared" si="8"/>
        <v>1.5358838313319634E-3</v>
      </c>
      <c r="Z10" s="32">
        <f t="shared" si="8"/>
        <v>4.6005855290673914E-3</v>
      </c>
      <c r="AA10" s="32">
        <f t="shared" si="8"/>
        <v>3.7468776019982108E-3</v>
      </c>
      <c r="AB10" s="32">
        <f t="shared" si="8"/>
        <v>-3.1798700400941238E-3</v>
      </c>
      <c r="AC10" s="32">
        <f t="shared" si="8"/>
        <v>1.6643550624133585E-3</v>
      </c>
      <c r="AD10" s="32">
        <f t="shared" si="8"/>
        <v>4.2924397673775871E-3</v>
      </c>
      <c r="AE10" s="32">
        <f t="shared" si="8"/>
        <v>3.3089755963049416E-3</v>
      </c>
      <c r="AF10" s="32">
        <f t="shared" si="8"/>
        <v>1.9238697265355764E-3</v>
      </c>
      <c r="AG10" s="32">
        <f t="shared" si="8"/>
        <v>2.1944863530378722E-3</v>
      </c>
      <c r="AH10" s="32">
        <f t="shared" si="8"/>
        <v>-6.8427535240178639E-4</v>
      </c>
      <c r="AI10" s="32">
        <f t="shared" si="8"/>
        <v>-4.1084634346755244E-4</v>
      </c>
      <c r="AJ10" s="32">
        <f t="shared" si="8"/>
        <v>-6.8502534593772868E-4</v>
      </c>
      <c r="AK10" s="32">
        <f t="shared" si="8"/>
        <v>3.0161776802850593E-3</v>
      </c>
      <c r="AL10" s="32">
        <f t="shared" si="8"/>
        <v>2.5970475669765403E-3</v>
      </c>
      <c r="AM10" s="32">
        <f t="shared" si="8"/>
        <v>1.0906612133607663E-3</v>
      </c>
      <c r="AN10" s="32">
        <f t="shared" si="8"/>
        <v>-5.4473648372610484E-4</v>
      </c>
      <c r="AO10" s="32">
        <f t="shared" si="8"/>
        <v>3.1339419539446745E-3</v>
      </c>
      <c r="AP10" s="32">
        <f t="shared" si="8"/>
        <v>2.5808204292312453E-3</v>
      </c>
      <c r="AQ10" s="32">
        <f t="shared" si="8"/>
        <v>5.1483538815877417E-3</v>
      </c>
      <c r="AR10" s="32">
        <f t="shared" si="8"/>
        <v>1.2131014961584974E-3</v>
      </c>
      <c r="AS10" s="32">
        <f t="shared" si="8"/>
        <v>1.2116316639740887E-3</v>
      </c>
      <c r="AT10" s="32">
        <f t="shared" si="8"/>
        <v>-1.344628210300014E-3</v>
      </c>
      <c r="AU10" s="32">
        <f t="shared" si="8"/>
        <v>9.425070688031667E-4</v>
      </c>
      <c r="AV10" s="32">
        <f t="shared" si="8"/>
        <v>-1.3451708366973847E-4</v>
      </c>
      <c r="AW10" s="32">
        <f t="shared" si="8"/>
        <v>3.2288443427954672E-3</v>
      </c>
      <c r="AX10" s="32">
        <f t="shared" si="8"/>
        <v>1.877430602118757E-3</v>
      </c>
      <c r="AY10" s="32">
        <f t="shared" si="8"/>
        <v>9.3695623075906731E-4</v>
      </c>
      <c r="AZ10" s="32">
        <f t="shared" si="8"/>
        <v>-4.0117678523665656E-4</v>
      </c>
      <c r="BA10" s="32">
        <f t="shared" si="8"/>
        <v>-2.6755852842808014E-4</v>
      </c>
      <c r="BB10" s="32">
        <f t="shared" si="8"/>
        <v>2.2748561488024066E-3</v>
      </c>
      <c r="BC10" s="32">
        <f t="shared" si="8"/>
        <v>2.2696929238983365E-3</v>
      </c>
      <c r="BD10" s="32">
        <f t="shared" si="8"/>
        <v>2.7973891035035781E-3</v>
      </c>
      <c r="BE10" s="32">
        <f t="shared" si="8"/>
        <v>2.2582359192349077E-3</v>
      </c>
      <c r="BF10" s="32">
        <f t="shared" si="8"/>
        <v>-3.9761431411533543E-4</v>
      </c>
      <c r="BG10" s="32">
        <f t="shared" si="8"/>
        <v>-2.6518164942979094E-4</v>
      </c>
      <c r="BH10" s="32">
        <f t="shared" si="8"/>
        <v>0</v>
      </c>
      <c r="BI10" s="32">
        <f t="shared" si="8"/>
        <v>3.1830238726788807E-3</v>
      </c>
      <c r="BJ10" s="32">
        <f t="shared" si="8"/>
        <v>2.1152829190904665E-3</v>
      </c>
      <c r="BK10" s="32">
        <f t="shared" si="8"/>
        <v>-9.2348284960408478E-4</v>
      </c>
      <c r="BL10" s="32">
        <f t="shared" si="8"/>
        <v>-5.2819226198341784E-4</v>
      </c>
      <c r="BM10" s="32">
        <f t="shared" si="8"/>
        <v>2.6423569824283177E-3</v>
      </c>
      <c r="BN10" s="32">
        <f t="shared" si="8"/>
        <v>3.162471998945815E-3</v>
      </c>
      <c r="BO10" s="32">
        <f t="shared" si="8"/>
        <v>3.1525022986997886E-3</v>
      </c>
      <c r="BP10" s="32">
        <f t="shared" si="8"/>
        <v>1.1784732224693339E-3</v>
      </c>
      <c r="BQ10" s="32">
        <f t="shared" si="8"/>
        <v>1.4386607376406513E-3</v>
      </c>
      <c r="BR10" s="32">
        <f t="shared" si="8"/>
        <v>1.3059945148241603E-4</v>
      </c>
      <c r="BS10" s="32">
        <f t="shared" si="1"/>
        <v>-1.8281535648994041E-3</v>
      </c>
      <c r="BT10" s="32">
        <f t="shared" si="1"/>
        <v>3.66300366300365E-3</v>
      </c>
      <c r="BU10" s="32">
        <f t="shared" si="1"/>
        <v>3.6496350364962904E-3</v>
      </c>
      <c r="BV10" s="32">
        <f t="shared" si="1"/>
        <v>1.0389610389609505E-3</v>
      </c>
      <c r="BW10" s="32">
        <f t="shared" si="1"/>
        <v>9.0814737934619139E-4</v>
      </c>
      <c r="BX10" s="32">
        <f t="shared" si="1"/>
        <v>7.7770576798430469E-4</v>
      </c>
      <c r="BY10" s="32">
        <f t="shared" si="1"/>
        <v>6.4758450977864257E-4</v>
      </c>
      <c r="BZ10" s="32">
        <f t="shared" si="1"/>
        <v>3.7535594097850566E-3</v>
      </c>
      <c r="CA10" s="32">
        <f t="shared" si="1"/>
        <v>6.5764023210832523E-3</v>
      </c>
      <c r="CB10" s="32">
        <f t="shared" si="1"/>
        <v>1.1529592621060125E-3</v>
      </c>
      <c r="CC10" s="32">
        <f t="shared" si="1"/>
        <v>2.0473448496480806E-3</v>
      </c>
      <c r="CD10" s="32">
        <f t="shared" si="1"/>
        <v>-1.1492785084918911E-3</v>
      </c>
      <c r="CE10" s="32">
        <f t="shared" si="1"/>
        <v>-1.9176681155715913E-3</v>
      </c>
      <c r="CF10" s="32">
        <f t="shared" si="1"/>
        <v>-1.921352632253015E-3</v>
      </c>
      <c r="CG10" s="32">
        <f t="shared" si="1"/>
        <v>3.0800821355234653E-3</v>
      </c>
      <c r="CH10" s="32">
        <f t="shared" si="1"/>
        <v>2.6867963152508167E-3</v>
      </c>
      <c r="CI10" s="32">
        <f t="shared" si="1"/>
        <v>-8.9319892816142055E-4</v>
      </c>
      <c r="CJ10" s="32">
        <f t="shared" si="1"/>
        <v>1.4048531289909683E-3</v>
      </c>
      <c r="CK10" s="32">
        <f t="shared" si="1"/>
        <v>1.4028822854228462E-3</v>
      </c>
      <c r="CL10" s="32">
        <f t="shared" si="1"/>
        <v>1.9103413143148895E-3</v>
      </c>
      <c r="CM10" s="32">
        <f t="shared" si="1"/>
        <v>8.8979280538947769E-4</v>
      </c>
      <c r="CN10" s="32">
        <f t="shared" si="1"/>
        <v>3.8100076200153765E-4</v>
      </c>
      <c r="CO10" s="32">
        <f t="shared" si="1"/>
        <v>1.3964707375904162E-3</v>
      </c>
      <c r="CP10" s="32">
        <f t="shared" si="1"/>
        <v>-1.2677484787004811E-4</v>
      </c>
      <c r="CQ10" s="32">
        <f t="shared" si="1"/>
        <v>-1.3947001394699621E-3</v>
      </c>
      <c r="CR10" s="32">
        <f t="shared" si="1"/>
        <v>2.6663280853225224E-3</v>
      </c>
      <c r="CS10" s="32">
        <f t="shared" si="1"/>
        <v>1.7728251234645498E-3</v>
      </c>
      <c r="CT10" s="32">
        <f t="shared" si="1"/>
        <v>-5.0562507900397957E-4</v>
      </c>
      <c r="CU10" s="32">
        <f t="shared" si="1"/>
        <v>1.7705830276970591E-3</v>
      </c>
      <c r="CV10" s="32">
        <f t="shared" si="1"/>
        <v>3.7874005807347899E-4</v>
      </c>
      <c r="CW10" s="32">
        <f t="shared" si="1"/>
        <v>-3.6597677940433115E-3</v>
      </c>
      <c r="CX10" s="32">
        <f t="shared" si="1"/>
        <v>3.7998733375552707E-3</v>
      </c>
      <c r="CY10" s="32">
        <f t="shared" si="1"/>
        <v>1.7665615141955193E-3</v>
      </c>
      <c r="CZ10" s="32">
        <f t="shared" si="1"/>
        <v>2.0153671747071833E-3</v>
      </c>
      <c r="DA10" s="32">
        <f t="shared" si="1"/>
        <v>2.5141420490260025E-4</v>
      </c>
      <c r="DB10" s="32">
        <f t="shared" si="1"/>
        <v>7.5405303506359544E-4</v>
      </c>
      <c r="DC10" s="32">
        <f t="shared" si="1"/>
        <v>-3.3906819038050928E-3</v>
      </c>
      <c r="DD10" s="32">
        <f t="shared" si="1"/>
        <v>7.5604838709675271E-4</v>
      </c>
      <c r="DE10" s="32">
        <f t="shared" si="1"/>
        <v>-3.7773860488543587E-4</v>
      </c>
      <c r="DF10" s="32">
        <f t="shared" si="1"/>
        <v>-6.2980224209596702E-4</v>
      </c>
      <c r="DG10" s="32">
        <f t="shared" si="1"/>
        <v>-6.3019914292916646E-4</v>
      </c>
      <c r="DH10" s="32">
        <f t="shared" si="1"/>
        <v>1.1350737797954924E-3</v>
      </c>
      <c r="DI10" s="32">
        <f t="shared" si="1"/>
        <v>-3.7792894935751997E-3</v>
      </c>
      <c r="DJ10" s="32">
        <f t="shared" si="1"/>
        <v>3.1613555892766598E-3</v>
      </c>
      <c r="DK10" s="32">
        <f t="shared" si="1"/>
        <v>3.4035043489222261E-3</v>
      </c>
      <c r="DL10" s="32">
        <f t="shared" si="1"/>
        <v>2.8894472361808976E-3</v>
      </c>
      <c r="DM10" s="32">
        <f t="shared" si="1"/>
        <v>0</v>
      </c>
      <c r="DN10" s="32">
        <f t="shared" si="1"/>
        <v>0</v>
      </c>
      <c r="DO10" s="32">
        <f t="shared" si="1"/>
        <v>-2.7558561944130977E-3</v>
      </c>
      <c r="DP10" s="32">
        <f t="shared" si="1"/>
        <v>1.632960683331186E-3</v>
      </c>
      <c r="DQ10" s="32">
        <f t="shared" si="1"/>
        <v>1.6302984700276024E-3</v>
      </c>
      <c r="DR10" s="32">
        <f t="shared" si="1"/>
        <v>7.5122073369238151E-4</v>
      </c>
      <c r="DS10" s="32">
        <f t="shared" si="1"/>
        <v>3.7532841236065373E-4</v>
      </c>
      <c r="DT10" s="32">
        <f t="shared" si="1"/>
        <v>4.5022511255627951E-3</v>
      </c>
      <c r="DU10" s="32">
        <f t="shared" si="1"/>
        <v>-8.7151394422302353E-4</v>
      </c>
      <c r="DV10" s="32">
        <f t="shared" si="1"/>
        <v>1.2461059190029822E-3</v>
      </c>
      <c r="DW10" s="32">
        <f t="shared" si="1"/>
        <v>4.729309271935378E-3</v>
      </c>
      <c r="DX10" s="32">
        <f t="shared" si="1"/>
        <v>0</v>
      </c>
      <c r="DY10" s="32">
        <f t="shared" si="1"/>
        <v>2.1057847144803077E-3</v>
      </c>
      <c r="DZ10" s="32">
        <f t="shared" si="1"/>
        <v>2.4721878862792313E-3</v>
      </c>
      <c r="EA10" s="32">
        <f t="shared" si="1"/>
        <v>-1.6029593094943895E-3</v>
      </c>
      <c r="EB10" s="32">
        <f t="shared" si="1"/>
        <v>1.97604050883049E-3</v>
      </c>
      <c r="EC10" s="32">
        <f t="shared" si="1"/>
        <v>5.1768766177739955E-3</v>
      </c>
      <c r="ED10" s="32">
        <f t="shared" si="1"/>
        <v>-1.2262415695891704E-3</v>
      </c>
      <c r="EE10" s="32">
        <f t="shared" si="2"/>
        <v>2.2099447513810322E-3</v>
      </c>
      <c r="EF10" s="32">
        <f t="shared" si="2"/>
        <v>-3.675119441381991E-4</v>
      </c>
      <c r="EG10" s="32">
        <f t="shared" si="2"/>
        <v>-5.1470588235292825E-3</v>
      </c>
      <c r="EH10" s="32">
        <f t="shared" si="2"/>
        <v>2.5868440502585521E-3</v>
      </c>
      <c r="EI10" s="32">
        <f t="shared" si="2"/>
        <v>4.5460130237129359E-3</v>
      </c>
      <c r="EJ10" s="32">
        <f t="shared" si="2"/>
        <v>4.8923679060663972E-3</v>
      </c>
      <c r="EK10" s="32">
        <f t="shared" si="2"/>
        <v>6.3291139240506666E-3</v>
      </c>
      <c r="EL10" s="32">
        <f t="shared" si="2"/>
        <v>6.0474117077879974E-4</v>
      </c>
      <c r="EM10" s="32">
        <f t="shared" si="2"/>
        <v>-2.0548773117370356E-3</v>
      </c>
      <c r="EN10" s="32">
        <f t="shared" si="2"/>
        <v>0</v>
      </c>
      <c r="EO10" s="32">
        <f t="shared" si="2"/>
        <v>1.816860465116088E-3</v>
      </c>
      <c r="EP10" s="32">
        <f t="shared" si="2"/>
        <v>6.045218232380023E-4</v>
      </c>
      <c r="EQ10" s="32">
        <f t="shared" si="2"/>
        <v>-2.7791203479942128E-3</v>
      </c>
      <c r="ER10" s="32">
        <f t="shared" si="2"/>
        <v>1.2116806009934145E-3</v>
      </c>
      <c r="ES10" s="32">
        <f t="shared" si="2"/>
        <v>3.1465569405786376E-3</v>
      </c>
      <c r="ET10" s="32">
        <f t="shared" si="2"/>
        <v>1.2064181445288202E-3</v>
      </c>
      <c r="EU10" s="32">
        <f t="shared" si="2"/>
        <v>4.4583684781298594E-3</v>
      </c>
      <c r="EV10" s="32">
        <f t="shared" si="2"/>
        <v>3.8387715930903177E-3</v>
      </c>
      <c r="EW10" s="32">
        <f t="shared" si="2"/>
        <v>1.3145315487572695E-3</v>
      </c>
      <c r="EX10" s="32">
        <f t="shared" si="2"/>
        <v>-1.1934598400764607E-4</v>
      </c>
      <c r="EY10" s="32">
        <f t="shared" si="2"/>
        <v>0</v>
      </c>
      <c r="EZ10" s="32">
        <f t="shared" si="2"/>
        <v>2.3872045834327782E-3</v>
      </c>
      <c r="FA10" s="32">
        <f t="shared" si="2"/>
        <v>1.9052155275065541E-3</v>
      </c>
      <c r="FB10" s="32">
        <f t="shared" si="2"/>
        <v>1.5450439743285305E-3</v>
      </c>
      <c r="FC10" s="32">
        <f t="shared" si="2"/>
        <v>0</v>
      </c>
      <c r="FD10" s="32">
        <f t="shared" si="2"/>
        <v>1.6613266880265432E-3</v>
      </c>
      <c r="FE10" s="32">
        <f t="shared" si="2"/>
        <v>1.1846937566639681E-4</v>
      </c>
      <c r="FF10" s="32">
        <f t="shared" si="2"/>
        <v>6.7519545131484726E-3</v>
      </c>
      <c r="FG10" s="32">
        <f t="shared" si="2"/>
        <v>4.0004706436052029E-3</v>
      </c>
      <c r="FH10" s="32">
        <f t="shared" si="2"/>
        <v>-1.406304933786573E-3</v>
      </c>
      <c r="FI10" s="32">
        <f t="shared" si="2"/>
        <v>-1.0562140593826097E-3</v>
      </c>
      <c r="FJ10" s="32">
        <f t="shared" si="2"/>
        <v>1.879699248120259E-3</v>
      </c>
      <c r="FK10" s="32">
        <f t="shared" si="2"/>
        <v>-1.0553470919324459E-3</v>
      </c>
      <c r="FL10" s="32">
        <f t="shared" si="2"/>
        <v>2.3476933912431885E-3</v>
      </c>
      <c r="FM10" s="32">
        <f t="shared" si="2"/>
        <v>3.9817308818363983E-3</v>
      </c>
      <c r="FN10" s="32">
        <f t="shared" si="2"/>
        <v>5.8322640849173268E-4</v>
      </c>
      <c r="FO10" s="32">
        <f t="shared" si="2"/>
        <v>-1.2823501981813479E-3</v>
      </c>
      <c r="FP10" s="32">
        <f t="shared" si="2"/>
        <v>1.0505427804365919E-3</v>
      </c>
      <c r="FQ10" s="32">
        <f t="shared" si="2"/>
        <v>-1.7490671641792188E-3</v>
      </c>
      <c r="FR10" s="32">
        <f t="shared" si="2"/>
        <v>4.0883074407194187E-3</v>
      </c>
      <c r="FS10" s="32">
        <f t="shared" si="2"/>
        <v>3.9553280595625573E-3</v>
      </c>
      <c r="FT10" s="32">
        <f t="shared" si="2"/>
        <v>2.6651216685980028E-3</v>
      </c>
      <c r="FU10" s="32">
        <f t="shared" si="2"/>
        <v>3.698139373627507E-3</v>
      </c>
      <c r="FV10" s="32">
        <f t="shared" si="2"/>
        <v>4.6056419113416069E-4</v>
      </c>
      <c r="FW10" s="32">
        <f t="shared" si="2"/>
        <v>-1.6112325929336091E-3</v>
      </c>
      <c r="FX10" s="32">
        <f t="shared" si="2"/>
        <v>2.1902017291066667E-3</v>
      </c>
      <c r="FY10" s="32">
        <f t="shared" si="2"/>
        <v>9.2017483321837901E-4</v>
      </c>
      <c r="FZ10" s="32">
        <f t="shared" si="2"/>
        <v>2.7579866697311495E-3</v>
      </c>
      <c r="GA10" s="32">
        <f t="shared" si="2"/>
        <v>4.5840018336007482E-4</v>
      </c>
      <c r="GB10" s="32">
        <f t="shared" si="2"/>
        <v>1.1454753722794919E-3</v>
      </c>
      <c r="GC10" s="32">
        <f t="shared" si="2"/>
        <v>-5.6064073226546052E-3</v>
      </c>
      <c r="GD10" s="32">
        <f t="shared" si="2"/>
        <v>6.3283856863420862E-3</v>
      </c>
      <c r="GE10" s="32">
        <f t="shared" si="2"/>
        <v>6.4029270523668913E-3</v>
      </c>
      <c r="GF10" s="32">
        <f t="shared" si="2"/>
        <v>1.9313792319928247E-3</v>
      </c>
      <c r="GG10" s="32">
        <f t="shared" si="2"/>
        <v>6.8034924594617685E-4</v>
      </c>
      <c r="GH10" s="32">
        <f t="shared" si="2"/>
        <v>1.1331444759206111E-3</v>
      </c>
      <c r="GI10" s="32">
        <f t="shared" si="2"/>
        <v>-1.4714204867005698E-3</v>
      </c>
      <c r="GJ10" s="32">
        <f t="shared" si="2"/>
        <v>3.8540013602357259E-3</v>
      </c>
      <c r="GK10" s="32">
        <f t="shared" si="2"/>
        <v>3.9521228545618126E-3</v>
      </c>
      <c r="GL10" s="32">
        <f t="shared" si="2"/>
        <v>-2.2494657518834504E-4</v>
      </c>
      <c r="GM10" s="32">
        <f t="shared" si="2"/>
        <v>-2.0249746878164832E-3</v>
      </c>
      <c r="GN10" s="32">
        <f t="shared" si="2"/>
        <v>1.2399954909254607E-3</v>
      </c>
      <c r="GO10" s="32">
        <f t="shared" si="2"/>
        <v>-1.0132852961043382E-3</v>
      </c>
      <c r="GP10" s="32">
        <f t="shared" si="2"/>
        <v>3.8318494308575701E-3</v>
      </c>
      <c r="GQ10" s="32">
        <f t="shared" si="3"/>
        <v>2.9190524306725862E-3</v>
      </c>
      <c r="GR10" s="32">
        <f t="shared" si="3"/>
        <v>4.2538900705249016E-3</v>
      </c>
      <c r="GS10" s="32">
        <f t="shared" si="3"/>
        <v>4.4588117266748384E-3</v>
      </c>
      <c r="GT10" s="32">
        <f t="shared" si="3"/>
        <v>-1.1097547442018296E-4</v>
      </c>
      <c r="GU10" s="32">
        <f t="shared" si="3"/>
        <v>-1.6648168701441923E-3</v>
      </c>
      <c r="GV10" s="32">
        <f t="shared" si="3"/>
        <v>3.4463590883824224E-3</v>
      </c>
      <c r="GW10" s="32">
        <f t="shared" si="3"/>
        <v>-2.3266120097497067E-3</v>
      </c>
      <c r="GX10" s="32">
        <f t="shared" si="3"/>
        <v>-2.220988339811214E-3</v>
      </c>
      <c r="GY10" s="32">
        <f t="shared" si="3"/>
        <v>1.2242626599887618E-3</v>
      </c>
      <c r="GZ10" s="32">
        <f t="shared" si="3"/>
        <v>2.2232103156958338E-3</v>
      </c>
      <c r="HA10" s="32">
        <f t="shared" si="3"/>
        <v>-3.4383318544809471E-3</v>
      </c>
      <c r="HB10" s="32">
        <f t="shared" si="3"/>
        <v>1.8920422927100056E-3</v>
      </c>
      <c r="HC10" s="32">
        <f t="shared" si="3"/>
        <v>4.332370584314571E-3</v>
      </c>
      <c r="HD10" s="32">
        <f t="shared" si="3"/>
        <v>4.9773255170888486E-3</v>
      </c>
      <c r="HE10" s="32">
        <f t="shared" si="3"/>
        <v>2.5313669381465953E-3</v>
      </c>
      <c r="HF10" s="32">
        <f t="shared" si="3"/>
        <v>1.2075968822045091E-3</v>
      </c>
      <c r="HG10" s="32">
        <f t="shared" si="3"/>
        <v>-2.521929824561453E-3</v>
      </c>
      <c r="HH10" s="32">
        <f t="shared" si="3"/>
        <v>3.1878641310323363E-3</v>
      </c>
      <c r="HI10" s="32">
        <f t="shared" si="3"/>
        <v>8.7661626123169967E-4</v>
      </c>
      <c r="HJ10" s="32">
        <f t="shared" si="3"/>
        <v>2.627545434639833E-3</v>
      </c>
      <c r="HK10" s="32">
        <f t="shared" si="3"/>
        <v>5.5689015068793868E-3</v>
      </c>
      <c r="HL10" s="32">
        <f t="shared" si="3"/>
        <v>3.8006298186556986E-3</v>
      </c>
      <c r="HM10" s="32">
        <f t="shared" si="3"/>
        <v>-1.1899610558200324E-3</v>
      </c>
      <c r="HN10" s="32">
        <f t="shared" si="3"/>
        <v>2.1661431820643173E-3</v>
      </c>
      <c r="HO10" s="32">
        <f t="shared" si="3"/>
        <v>7.6731870744621844E-3</v>
      </c>
      <c r="HP10" s="32">
        <f t="shared" si="3"/>
        <v>3.4320034320034498E-3</v>
      </c>
      <c r="HQ10" s="32">
        <f t="shared" si="3"/>
        <v>5.4510474561777489E-3</v>
      </c>
      <c r="HR10" s="32">
        <f t="shared" si="3"/>
        <v>3.7206335707453686E-3</v>
      </c>
      <c r="HS10" s="32">
        <f t="shared" si="3"/>
        <v>-2.2241050624868253E-3</v>
      </c>
      <c r="HT10" s="32">
        <f t="shared" si="3"/>
        <v>-4.2458337756068332E-4</v>
      </c>
      <c r="HU10" s="32">
        <f t="shared" si="3"/>
        <v>-6.3714558776684083E-4</v>
      </c>
      <c r="HV10" s="32">
        <f t="shared" si="3"/>
        <v>-6.3755180108382437E-4</v>
      </c>
      <c r="HW10" s="32">
        <f t="shared" si="3"/>
        <v>-4.784688995215336E-3</v>
      </c>
      <c r="HX10" s="32">
        <f t="shared" si="3"/>
        <v>-2.4572649572648375E-3</v>
      </c>
      <c r="HY10" s="32">
        <f t="shared" si="3"/>
        <v>-4.1769304915926231E-3</v>
      </c>
      <c r="HZ10" s="32">
        <f t="shared" si="3"/>
        <v>3.8718003871800466E-3</v>
      </c>
      <c r="IA10" s="32">
        <f t="shared" si="3"/>
        <v>1.928433683308306E-3</v>
      </c>
      <c r="IB10" s="32">
        <f t="shared" si="3"/>
        <v>1.4970059880239361E-3</v>
      </c>
      <c r="IC10" s="32">
        <f t="shared" si="3"/>
        <v>1.6015374759770218E-3</v>
      </c>
      <c r="ID10" s="32">
        <f t="shared" si="3"/>
        <v>1.2791813239527716E-3</v>
      </c>
      <c r="IE10" s="32">
        <f t="shared" si="3"/>
        <v>-4.5778771425530884E-3</v>
      </c>
      <c r="IF10" s="32">
        <f t="shared" si="3"/>
        <v>5.2406417112298431E-3</v>
      </c>
      <c r="IG10" s="32">
        <f t="shared" si="3"/>
        <v>-2.4470688371102112E-3</v>
      </c>
      <c r="IH10" s="32">
        <f t="shared" si="3"/>
        <v>9.5989761092130088E-4</v>
      </c>
      <c r="II10" s="32">
        <f t="shared" si="3"/>
        <v>6.3931806073513897E-4</v>
      </c>
      <c r="IJ10" s="32">
        <f t="shared" si="3"/>
        <v>2.4491534447876884E-3</v>
      </c>
      <c r="IK10" s="32">
        <f t="shared" si="3"/>
        <v>-2.3369449755682448E-3</v>
      </c>
      <c r="IL10" s="32">
        <f t="shared" si="3"/>
        <v>5.6431005110733068E-3</v>
      </c>
      <c r="IM10" s="32">
        <f t="shared" si="3"/>
        <v>4.9761778718899752E-3</v>
      </c>
      <c r="IN10" s="32">
        <f t="shared" si="3"/>
        <v>2.7391487568479977E-3</v>
      </c>
      <c r="IO10" s="32">
        <f t="shared" si="3"/>
        <v>1.0506408909434217E-3</v>
      </c>
      <c r="IP10" s="32">
        <f t="shared" si="3"/>
        <v>-1.0495382031916467E-4</v>
      </c>
      <c r="IQ10" s="32">
        <f t="shared" si="3"/>
        <v>-2.8340505930513071E-3</v>
      </c>
      <c r="IR10" s="32">
        <f t="shared" si="3"/>
        <v>2.4210526315788794E-3</v>
      </c>
      <c r="IS10" s="32">
        <f t="shared" si="3"/>
        <v>-8.4007140606945363E-4</v>
      </c>
      <c r="IT10" s="32">
        <f t="shared" si="3"/>
        <v>1.3662637940095035E-3</v>
      </c>
      <c r="IU10" s="32">
        <f t="shared" si="3"/>
        <v>4.1981528127621459E-4</v>
      </c>
      <c r="IV10" s="32">
        <f t="shared" si="3"/>
        <v>4.4062106588333982E-3</v>
      </c>
      <c r="IW10" s="32">
        <f t="shared" si="3"/>
        <v>-2.4023396699393018E-3</v>
      </c>
      <c r="IX10" s="32">
        <f t="shared" si="3"/>
        <v>4.816249607370926E-3</v>
      </c>
      <c r="IY10" s="32">
        <f t="shared" si="3"/>
        <v>8.2317390851307515E-3</v>
      </c>
      <c r="IZ10" s="32">
        <f t="shared" si="3"/>
        <v>3.5138486978087968E-3</v>
      </c>
      <c r="JA10" s="32">
        <f t="shared" si="3"/>
        <v>6.1791967044277918E-4</v>
      </c>
      <c r="JB10" s="32">
        <f t="shared" si="3"/>
        <v>7.2046109510104372E-4</v>
      </c>
      <c r="JC10" s="32">
        <f t="shared" si="4"/>
        <v>-4.5253522575336991E-3</v>
      </c>
      <c r="JD10" s="32">
        <f t="shared" si="4"/>
        <v>5.3724558322141291E-3</v>
      </c>
      <c r="JE10" s="32">
        <f t="shared" si="4"/>
        <v>-8.2211489055594722E-4</v>
      </c>
      <c r="JF10" s="32">
        <f t="shared" si="4"/>
        <v>1.9541293839349105E-3</v>
      </c>
      <c r="JG10" s="32">
        <f t="shared" si="4"/>
        <v>2.2582631903100836E-3</v>
      </c>
      <c r="JH10" s="32">
        <f t="shared" si="4"/>
        <v>4.0966816878329482E-3</v>
      </c>
      <c r="JI10" s="32">
        <f t="shared" si="4"/>
        <v>-3.6719706242349659E-3</v>
      </c>
      <c r="JJ10" s="32">
        <f t="shared" si="4"/>
        <v>4.1973791973790586E-3</v>
      </c>
      <c r="JK10" s="32">
        <f t="shared" si="4"/>
        <v>8.5635640738097596E-3</v>
      </c>
      <c r="JL10" s="32">
        <f t="shared" si="4"/>
        <v>1.3140604467805073E-3</v>
      </c>
      <c r="JM10" s="32">
        <f t="shared" si="4"/>
        <v>-6.0569351907935332E-4</v>
      </c>
      <c r="JN10" s="32">
        <f t="shared" si="4"/>
        <v>4.0404040404040664E-4</v>
      </c>
      <c r="JO10" s="32">
        <f t="shared" si="4"/>
        <v>-4.4426494345720657E-3</v>
      </c>
      <c r="JP10" s="32">
        <f t="shared" si="4"/>
        <v>6.7951318458419063E-3</v>
      </c>
      <c r="JQ10" s="32">
        <f t="shared" si="4"/>
        <v>-2.6191195728819672E-3</v>
      </c>
      <c r="JR10" s="32">
        <f t="shared" si="4"/>
        <v>6.0599939400041158E-4</v>
      </c>
      <c r="JS10" s="32">
        <f t="shared" si="4"/>
        <v>-1.6150196830523322E-3</v>
      </c>
      <c r="JT10" s="32">
        <f t="shared" si="4"/>
        <v>3.2352643817612492E-3</v>
      </c>
      <c r="JU10" s="32">
        <f t="shared" si="4"/>
        <v>-5.2403507003930816E-3</v>
      </c>
      <c r="JV10" s="32">
        <f t="shared" si="4"/>
        <v>2.9378988957553531E-3</v>
      </c>
      <c r="JW10" s="32">
        <f t="shared" si="4"/>
        <v>7.7777777777776613E-3</v>
      </c>
      <c r="JX10" s="32">
        <f t="shared" si="4"/>
        <v>-1.5034579532925418E-3</v>
      </c>
      <c r="JY10" s="32">
        <f t="shared" si="4"/>
        <v>5.0190724754073379E-4</v>
      </c>
      <c r="JZ10" s="32">
        <f t="shared" si="4"/>
        <v>1.705628574295126E-3</v>
      </c>
      <c r="KA10" s="32">
        <f t="shared" si="4"/>
        <v>-3.4054487179487891E-3</v>
      </c>
      <c r="KB10" s="32">
        <f t="shared" si="4"/>
        <v>4.4221105527637583E-3</v>
      </c>
      <c r="KC10" s="32">
        <f t="shared" si="4"/>
        <v>-2.4014408645186558E-3</v>
      </c>
      <c r="KD10" s="32">
        <f t="shared" si="4"/>
        <v>-1.3039117352057206E-3</v>
      </c>
      <c r="KE10" s="32">
        <f t="shared" si="4"/>
        <v>-5.0215928492514106E-4</v>
      </c>
      <c r="KF10" s="32">
        <f t="shared" si="4"/>
        <v>3.5168810289389896E-3</v>
      </c>
      <c r="KG10" s="32">
        <f t="shared" si="4"/>
        <v>-6.1079403224191253E-3</v>
      </c>
      <c r="KH10" s="32">
        <f t="shared" si="4"/>
        <v>5.3395123916986087E-3</v>
      </c>
      <c r="KI10" s="32">
        <f t="shared" si="4"/>
        <v>4.6096803286901356E-3</v>
      </c>
      <c r="KJ10" s="32">
        <f t="shared" si="4"/>
        <v>-4.9875311720692928E-4</v>
      </c>
      <c r="KK10" s="32">
        <f t="shared" si="4"/>
        <v>2.9940119760474282E-4</v>
      </c>
      <c r="KL10" s="32">
        <f t="shared" si="4"/>
        <v>-3.9908211114447756E-4</v>
      </c>
      <c r="KM10" s="32">
        <f t="shared" si="4"/>
        <v>-3.1939315300927307E-3</v>
      </c>
      <c r="KN10" s="32">
        <f t="shared" si="4"/>
        <v>4.4057274456794637E-3</v>
      </c>
      <c r="KO10" s="32">
        <f t="shared" si="4"/>
        <v>-3.8879473631742156E-3</v>
      </c>
      <c r="KP10" s="32">
        <f t="shared" si="4"/>
        <v>3.0024019215368902E-4</v>
      </c>
      <c r="KQ10" s="32">
        <f t="shared" si="4"/>
        <v>-1.7008504252126189E-3</v>
      </c>
      <c r="KR10" s="32">
        <f t="shared" si="4"/>
        <v>8.0176388053709857E-4</v>
      </c>
      <c r="KS10" s="32">
        <f t="shared" si="4"/>
        <v>-1.0114159823753299E-2</v>
      </c>
      <c r="KT10" s="32">
        <f t="shared" si="4"/>
        <v>6.6767830045524335E-3</v>
      </c>
      <c r="KU10" s="32">
        <f t="shared" si="4"/>
        <v>6.6324992463069332E-3</v>
      </c>
      <c r="KV10" s="32">
        <f t="shared" si="4"/>
        <v>1.1979634621144264E-3</v>
      </c>
      <c r="KW10" s="32">
        <f t="shared" si="4"/>
        <v>2.3930601256356709E-3</v>
      </c>
      <c r="KX10" s="32">
        <f t="shared" si="4"/>
        <v>-7.9578235352628646E-4</v>
      </c>
      <c r="KY10" s="32">
        <f t="shared" si="4"/>
        <v>-4.1811846689895349E-3</v>
      </c>
      <c r="KZ10" s="32">
        <f t="shared" si="4"/>
        <v>3.2990102969108204E-3</v>
      </c>
      <c r="LA10" s="32">
        <f t="shared" si="4"/>
        <v>-4.0852929453965015E-3</v>
      </c>
      <c r="LB10" s="32">
        <f t="shared" si="4"/>
        <v>6.0030015007495052E-4</v>
      </c>
      <c r="LC10" s="32">
        <f t="shared" si="4"/>
        <v>-1.9998000199979993E-3</v>
      </c>
      <c r="LD10" s="32">
        <f t="shared" si="4"/>
        <v>2.3043783188056999E-3</v>
      </c>
      <c r="LE10" s="32">
        <f t="shared" si="4"/>
        <v>-9.6961215513795551E-3</v>
      </c>
      <c r="LF10" s="32">
        <f t="shared" si="4"/>
        <v>2.5234682547694565E-3</v>
      </c>
      <c r="LG10" s="32">
        <f t="shared" si="4"/>
        <v>7.0479258960933766E-3</v>
      </c>
      <c r="LH10" s="32">
        <f t="shared" si="4"/>
        <v>6.9986002799438118E-4</v>
      </c>
      <c r="LI10" s="32">
        <f t="shared" si="4"/>
        <v>4.1962233989409903E-3</v>
      </c>
      <c r="LJ10" s="32">
        <f t="shared" si="4"/>
        <v>1.2934036414287142E-3</v>
      </c>
      <c r="LK10" s="32">
        <f t="shared" si="4"/>
        <v>-3.7758346581875379E-3</v>
      </c>
      <c r="LL10" s="32">
        <f t="shared" si="4"/>
        <v>3.2914422501495455E-3</v>
      </c>
      <c r="LM10" s="32">
        <f t="shared" si="4"/>
        <v>-2.3859230539815535E-3</v>
      </c>
      <c r="LN10" s="32">
        <f t="shared" si="4"/>
        <v>1.9930244145505149E-4</v>
      </c>
      <c r="LO10" s="32">
        <f t="shared" si="5"/>
        <v>-9.9631363953411878E-5</v>
      </c>
      <c r="LP10" s="32">
        <f t="shared" si="5"/>
        <v>2.9892387405341392E-3</v>
      </c>
      <c r="LQ10" s="32">
        <f t="shared" si="5"/>
        <v>-2.4836081859725967E-3</v>
      </c>
      <c r="LR10" s="32">
        <f t="shared" si="5"/>
        <v>1.0955084154964378E-3</v>
      </c>
      <c r="LS10" s="32">
        <f t="shared" si="5"/>
        <v>6.167926780740185E-3</v>
      </c>
      <c r="LT10" s="32">
        <f t="shared" si="5"/>
        <v>8.8985564563981434E-4</v>
      </c>
      <c r="LU10" s="32">
        <f t="shared" si="5"/>
        <v>4.9392472587173053E-4</v>
      </c>
      <c r="LV10" s="32">
        <f t="shared" si="5"/>
        <v>1.974723538704648E-4</v>
      </c>
      <c r="LW10" s="32">
        <f t="shared" si="5"/>
        <v>-3.5538005923000382E-3</v>
      </c>
      <c r="LX10" s="32">
        <f t="shared" si="5"/>
        <v>5.250643946899114E-3</v>
      </c>
      <c r="LY10" s="32">
        <f t="shared" si="5"/>
        <v>-1.6753720311422082E-3</v>
      </c>
      <c r="LZ10" s="32">
        <f t="shared" si="5"/>
        <v>9.8716683119448589E-4</v>
      </c>
      <c r="MA10" s="32">
        <f t="shared" si="5"/>
        <v>6.9033530571993573E-4</v>
      </c>
      <c r="MB10" s="32">
        <f t="shared" si="5"/>
        <v>2.8579875825367473E-3</v>
      </c>
      <c r="MC10" s="32">
        <f t="shared" si="5"/>
        <v>-8.8443396226423054E-4</v>
      </c>
      <c r="MD10" s="32">
        <f t="shared" si="5"/>
        <v>-2.9507229271175106E-4</v>
      </c>
      <c r="ME10" s="32">
        <f t="shared" si="5"/>
        <v>7.6741440377803283E-3</v>
      </c>
      <c r="MF10" s="32">
        <f t="shared" si="5"/>
        <v>1.6598320640499598E-3</v>
      </c>
      <c r="MG10" s="32">
        <f t="shared" si="5"/>
        <v>4.5813432108392504E-3</v>
      </c>
      <c r="MH10" s="32">
        <f t="shared" si="5"/>
        <v>9.7030855812141326E-5</v>
      </c>
      <c r="MI10" s="32">
        <f t="shared" si="5"/>
        <v>-1.0672358591248265E-3</v>
      </c>
      <c r="MJ10" s="32">
        <f t="shared" si="5"/>
        <v>5.050505050505194E-3</v>
      </c>
      <c r="MK10" s="32">
        <f t="shared" si="5"/>
        <v>-2.2226517201392459E-3</v>
      </c>
      <c r="ML10" s="32">
        <f t="shared" si="5"/>
        <v>1.162227602905519E-3</v>
      </c>
      <c r="MM10" s="32">
        <f t="shared" si="5"/>
        <v>-2.2250169294766309E-3</v>
      </c>
      <c r="MN10" s="32">
        <f t="shared" si="5"/>
        <v>1.9391118867551072E-4</v>
      </c>
      <c r="MO10" s="32">
        <f t="shared" si="5"/>
        <v>-4.7499030632027761E-3</v>
      </c>
      <c r="MP10" s="32">
        <f t="shared" si="5"/>
        <v>5.8439661049969338E-4</v>
      </c>
      <c r="MQ10" s="32">
        <f t="shared" si="5"/>
        <v>6.8139783899543449E-3</v>
      </c>
      <c r="MR10" s="32">
        <f t="shared" si="5"/>
        <v>3.1905636662477033E-3</v>
      </c>
      <c r="MS10" s="32">
        <f t="shared" si="5"/>
        <v>9.6376252891272607E-4</v>
      </c>
      <c r="MT10" s="32">
        <f t="shared" si="5"/>
        <v>2.5033699210477156E-3</v>
      </c>
      <c r="MU10" s="32">
        <f t="shared" si="5"/>
        <v>-2.0169035728007101E-3</v>
      </c>
      <c r="MV10" s="32">
        <f t="shared" si="5"/>
        <v>4.7156192859205692E-3</v>
      </c>
      <c r="MW10" s="32">
        <f t="shared" si="5"/>
        <v>-3.4482758620689724E-3</v>
      </c>
      <c r="MX10" s="32">
        <f t="shared" si="5"/>
        <v>-4.8058439061915426E-4</v>
      </c>
      <c r="MY10" s="32">
        <f t="shared" si="5"/>
        <v>-6.7314164823528699E-4</v>
      </c>
      <c r="MZ10" s="32">
        <f t="shared" si="5"/>
        <v>4.522709776751288E-3</v>
      </c>
      <c r="NA10" s="32">
        <f t="shared" si="5"/>
        <v>-4.3107577354153381E-3</v>
      </c>
      <c r="NB10" s="32">
        <f t="shared" si="5"/>
        <v>-9.6209351548859345E-5</v>
      </c>
      <c r="NC10" s="32">
        <f t="shared" si="5"/>
        <v>-7.6974886943148579E-4</v>
      </c>
      <c r="ND10" s="32">
        <f t="shared" si="5"/>
        <v>-3.8517091959544558E-4</v>
      </c>
      <c r="NE10" s="32">
        <f t="shared" si="5"/>
        <v>1.3486176668915384E-3</v>
      </c>
      <c r="NF10" s="32">
        <f t="shared" si="5"/>
        <v>8.658008658009031E-4</v>
      </c>
      <c r="NG10" s="32">
        <f t="shared" si="5"/>
        <v>3.8446751249519018E-3</v>
      </c>
      <c r="NH10" s="32">
        <f t="shared" si="5"/>
        <v>-9.5748755266178431E-4</v>
      </c>
      <c r="NI10" s="32">
        <f t="shared" si="5"/>
        <v>-5.1753881541116709E-3</v>
      </c>
      <c r="NJ10" s="32">
        <f t="shared" si="5"/>
        <v>-4.8169556840071959E-4</v>
      </c>
      <c r="NK10" s="32">
        <f t="shared" si="5"/>
        <v>1.0602409638553745E-3</v>
      </c>
      <c r="NL10" s="32">
        <f t="shared" si="5"/>
        <v>2.2145195455420819E-3</v>
      </c>
      <c r="NM10" s="32">
        <f t="shared" si="5"/>
        <v>1.4410606206167742E-3</v>
      </c>
      <c r="NN10" s="32">
        <f t="shared" si="5"/>
        <v>0</v>
      </c>
      <c r="NO10" s="32">
        <f t="shared" si="5"/>
        <v>6.2356101304681388E-3</v>
      </c>
      <c r="NP10" s="32">
        <f t="shared" si="5"/>
        <v>1.0487177042615148E-3</v>
      </c>
      <c r="NQ10" s="32">
        <f t="shared" si="5"/>
        <v>3.2380952380952621E-3</v>
      </c>
      <c r="NR10" s="32">
        <f t="shared" si="5"/>
        <v>1.329029808240012E-3</v>
      </c>
      <c r="NS10" s="32">
        <f t="shared" si="5"/>
        <v>6.6363291619264686E-4</v>
      </c>
      <c r="NT10" s="32">
        <f t="shared" si="5"/>
        <v>6.2529606821410955E-3</v>
      </c>
      <c r="NU10" s="32">
        <f t="shared" si="5"/>
        <v>-2.2596742302983808E-3</v>
      </c>
      <c r="NV10" s="32">
        <f t="shared" si="5"/>
        <v>4.2464848542040912E-3</v>
      </c>
      <c r="NW10" s="32">
        <f t="shared" si="5"/>
        <v>3.7586919751926295E-3</v>
      </c>
      <c r="NX10" s="32">
        <f t="shared" si="5"/>
        <v>1.9659239842726439E-3</v>
      </c>
      <c r="NY10" s="32">
        <f t="shared" si="5"/>
        <v>2.5226571989160895E-3</v>
      </c>
      <c r="NZ10" s="32">
        <f t="shared" si="5"/>
        <v>7.8285181733457332E-3</v>
      </c>
      <c r="OA10" s="32">
        <f t="shared" si="6"/>
        <v>1.4425744405400343E-2</v>
      </c>
    </row>
    <row r="11" spans="1:391" ht="22.8" x14ac:dyDescent="0.3">
      <c r="A11" s="26" t="s">
        <v>441</v>
      </c>
      <c r="B11" s="26" t="s">
        <v>442</v>
      </c>
      <c r="C11" s="26" t="s">
        <v>413</v>
      </c>
      <c r="D11" s="26" t="s">
        <v>414</v>
      </c>
      <c r="E11" s="31"/>
      <c r="F11" s="32" t="e">
        <f t="shared" si="7"/>
        <v>#VALUE!</v>
      </c>
      <c r="G11" s="32" t="e">
        <f t="shared" si="8"/>
        <v>#VALUE!</v>
      </c>
      <c r="H11" s="32" t="e">
        <f t="shared" si="8"/>
        <v>#VALUE!</v>
      </c>
      <c r="I11" s="32" t="e">
        <f t="shared" si="8"/>
        <v>#VALUE!</v>
      </c>
      <c r="J11" s="32" t="e">
        <f t="shared" si="8"/>
        <v>#VALUE!</v>
      </c>
      <c r="K11" s="32" t="e">
        <f t="shared" si="8"/>
        <v>#VALUE!</v>
      </c>
      <c r="L11" s="32" t="e">
        <f t="shared" si="8"/>
        <v>#VALUE!</v>
      </c>
      <c r="M11" s="32" t="e">
        <f t="shared" si="8"/>
        <v>#VALUE!</v>
      </c>
      <c r="N11" s="32" t="e">
        <f t="shared" si="8"/>
        <v>#VALUE!</v>
      </c>
      <c r="O11" s="32" t="e">
        <f t="shared" si="8"/>
        <v>#VALUE!</v>
      </c>
      <c r="P11" s="32" t="e">
        <f t="shared" si="8"/>
        <v>#VALUE!</v>
      </c>
      <c r="Q11" s="32" t="e">
        <f t="shared" si="8"/>
        <v>#VALUE!</v>
      </c>
      <c r="R11" s="32" t="e">
        <f t="shared" si="8"/>
        <v>#VALUE!</v>
      </c>
      <c r="S11" s="32" t="e">
        <f t="shared" si="8"/>
        <v>#VALUE!</v>
      </c>
      <c r="T11" s="32" t="e">
        <f t="shared" si="8"/>
        <v>#VALUE!</v>
      </c>
      <c r="U11" s="32" t="e">
        <f t="shared" si="8"/>
        <v>#VALUE!</v>
      </c>
      <c r="V11" s="32" t="e">
        <f t="shared" si="8"/>
        <v>#VALUE!</v>
      </c>
      <c r="W11" s="32" t="e">
        <f t="shared" si="8"/>
        <v>#VALUE!</v>
      </c>
      <c r="X11" s="32" t="e">
        <f t="shared" si="8"/>
        <v>#VALUE!</v>
      </c>
      <c r="Y11" s="32" t="e">
        <f t="shared" si="8"/>
        <v>#VALUE!</v>
      </c>
      <c r="Z11" s="32" t="e">
        <f t="shared" si="8"/>
        <v>#VALUE!</v>
      </c>
      <c r="AA11" s="32" t="e">
        <f t="shared" si="8"/>
        <v>#VALUE!</v>
      </c>
      <c r="AB11" s="32" t="e">
        <f t="shared" si="8"/>
        <v>#VALUE!</v>
      </c>
      <c r="AC11" s="32" t="e">
        <f t="shared" si="8"/>
        <v>#VALUE!</v>
      </c>
      <c r="AD11" s="32" t="e">
        <f t="shared" si="8"/>
        <v>#VALUE!</v>
      </c>
      <c r="AE11" s="32" t="e">
        <f t="shared" si="8"/>
        <v>#VALUE!</v>
      </c>
      <c r="AF11" s="32" t="e">
        <f t="shared" si="8"/>
        <v>#VALUE!</v>
      </c>
      <c r="AG11" s="32" t="e">
        <f t="shared" si="8"/>
        <v>#VALUE!</v>
      </c>
      <c r="AH11" s="32" t="e">
        <f t="shared" si="8"/>
        <v>#VALUE!</v>
      </c>
      <c r="AI11" s="32" t="e">
        <f t="shared" si="8"/>
        <v>#VALUE!</v>
      </c>
      <c r="AJ11" s="32" t="e">
        <f t="shared" si="8"/>
        <v>#VALUE!</v>
      </c>
      <c r="AK11" s="32" t="e">
        <f t="shared" si="8"/>
        <v>#VALUE!</v>
      </c>
      <c r="AL11" s="32" t="e">
        <f t="shared" si="8"/>
        <v>#VALUE!</v>
      </c>
      <c r="AM11" s="32" t="e">
        <f t="shared" si="8"/>
        <v>#VALUE!</v>
      </c>
      <c r="AN11" s="32" t="e">
        <f t="shared" si="8"/>
        <v>#VALUE!</v>
      </c>
      <c r="AO11" s="32" t="e">
        <f t="shared" si="8"/>
        <v>#VALUE!</v>
      </c>
      <c r="AP11" s="32" t="e">
        <f t="shared" si="8"/>
        <v>#VALUE!</v>
      </c>
      <c r="AQ11" s="32" t="e">
        <f t="shared" si="8"/>
        <v>#VALUE!</v>
      </c>
      <c r="AR11" s="32" t="e">
        <f t="shared" si="8"/>
        <v>#VALUE!</v>
      </c>
      <c r="AS11" s="32" t="e">
        <f t="shared" si="8"/>
        <v>#VALUE!</v>
      </c>
      <c r="AT11" s="32" t="e">
        <f t="shared" si="8"/>
        <v>#VALUE!</v>
      </c>
      <c r="AU11" s="32" t="e">
        <f t="shared" si="8"/>
        <v>#VALUE!</v>
      </c>
      <c r="AV11" s="32" t="e">
        <f t="shared" si="8"/>
        <v>#VALUE!</v>
      </c>
      <c r="AW11" s="32" t="e">
        <f t="shared" si="8"/>
        <v>#VALUE!</v>
      </c>
      <c r="AX11" s="32" t="e">
        <f t="shared" si="8"/>
        <v>#VALUE!</v>
      </c>
      <c r="AY11" s="32" t="e">
        <f t="shared" si="8"/>
        <v>#VALUE!</v>
      </c>
      <c r="AZ11" s="32" t="e">
        <f t="shared" si="8"/>
        <v>#VALUE!</v>
      </c>
      <c r="BA11" s="32" t="e">
        <f t="shared" si="8"/>
        <v>#VALUE!</v>
      </c>
      <c r="BB11" s="32" t="e">
        <f t="shared" si="8"/>
        <v>#VALUE!</v>
      </c>
      <c r="BC11" s="32" t="e">
        <f t="shared" si="8"/>
        <v>#VALUE!</v>
      </c>
      <c r="BD11" s="32" t="e">
        <f t="shared" si="8"/>
        <v>#VALUE!</v>
      </c>
      <c r="BE11" s="32" t="e">
        <f t="shared" si="8"/>
        <v>#VALUE!</v>
      </c>
      <c r="BF11" s="32" t="e">
        <f t="shared" si="8"/>
        <v>#VALUE!</v>
      </c>
      <c r="BG11" s="32" t="e">
        <f t="shared" si="8"/>
        <v>#VALUE!</v>
      </c>
      <c r="BH11" s="32" t="e">
        <f t="shared" si="8"/>
        <v>#VALUE!</v>
      </c>
      <c r="BI11" s="32" t="e">
        <f t="shared" si="8"/>
        <v>#VALUE!</v>
      </c>
      <c r="BJ11" s="32" t="e">
        <f t="shared" si="8"/>
        <v>#VALUE!</v>
      </c>
      <c r="BK11" s="32" t="e">
        <f t="shared" si="8"/>
        <v>#VALUE!</v>
      </c>
      <c r="BL11" s="32" t="e">
        <f t="shared" si="8"/>
        <v>#VALUE!</v>
      </c>
      <c r="BM11" s="32" t="e">
        <f t="shared" si="8"/>
        <v>#VALUE!</v>
      </c>
      <c r="BN11" s="32" t="e">
        <f t="shared" si="8"/>
        <v>#VALUE!</v>
      </c>
      <c r="BO11" s="32" t="e">
        <f t="shared" si="8"/>
        <v>#VALUE!</v>
      </c>
      <c r="BP11" s="32" t="e">
        <f t="shared" si="8"/>
        <v>#VALUE!</v>
      </c>
      <c r="BQ11" s="32" t="e">
        <f t="shared" si="8"/>
        <v>#VALUE!</v>
      </c>
      <c r="BR11" s="32" t="e">
        <f t="shared" si="8"/>
        <v>#VALUE!</v>
      </c>
      <c r="BS11" s="32" t="e">
        <f t="shared" si="1"/>
        <v>#VALUE!</v>
      </c>
      <c r="BT11" s="32" t="e">
        <f t="shared" si="1"/>
        <v>#VALUE!</v>
      </c>
      <c r="BU11" s="32" t="e">
        <f t="shared" si="1"/>
        <v>#VALUE!</v>
      </c>
      <c r="BV11" s="32" t="e">
        <f t="shared" si="1"/>
        <v>#VALUE!</v>
      </c>
      <c r="BW11" s="32" t="e">
        <f t="shared" si="1"/>
        <v>#VALUE!</v>
      </c>
      <c r="BX11" s="32" t="e">
        <f t="shared" si="1"/>
        <v>#VALUE!</v>
      </c>
      <c r="BY11" s="32" t="e">
        <f t="shared" si="1"/>
        <v>#VALUE!</v>
      </c>
      <c r="BZ11" s="32" t="e">
        <f t="shared" si="1"/>
        <v>#VALUE!</v>
      </c>
      <c r="CA11" s="32" t="e">
        <f t="shared" si="1"/>
        <v>#VALUE!</v>
      </c>
      <c r="CB11" s="32" t="e">
        <f t="shared" si="1"/>
        <v>#VALUE!</v>
      </c>
      <c r="CC11" s="32" t="e">
        <f t="shared" si="1"/>
        <v>#VALUE!</v>
      </c>
      <c r="CD11" s="32" t="e">
        <f t="shared" si="1"/>
        <v>#VALUE!</v>
      </c>
      <c r="CE11" s="32" t="e">
        <f t="shared" si="1"/>
        <v>#VALUE!</v>
      </c>
      <c r="CF11" s="32" t="e">
        <f t="shared" si="1"/>
        <v>#VALUE!</v>
      </c>
      <c r="CG11" s="32" t="e">
        <f t="shared" si="1"/>
        <v>#VALUE!</v>
      </c>
      <c r="CH11" s="32" t="e">
        <f t="shared" si="1"/>
        <v>#VALUE!</v>
      </c>
      <c r="CI11" s="32" t="e">
        <f t="shared" si="1"/>
        <v>#VALUE!</v>
      </c>
      <c r="CJ11" s="32" t="e">
        <f t="shared" si="1"/>
        <v>#VALUE!</v>
      </c>
      <c r="CK11" s="32" t="e">
        <f t="shared" si="1"/>
        <v>#VALUE!</v>
      </c>
      <c r="CL11" s="32" t="e">
        <f t="shared" si="1"/>
        <v>#VALUE!</v>
      </c>
      <c r="CM11" s="32" t="e">
        <f t="shared" si="1"/>
        <v>#VALUE!</v>
      </c>
      <c r="CN11" s="32" t="e">
        <f t="shared" si="1"/>
        <v>#VALUE!</v>
      </c>
      <c r="CO11" s="32" t="e">
        <f t="shared" si="1"/>
        <v>#VALUE!</v>
      </c>
      <c r="CP11" s="32" t="e">
        <f t="shared" si="1"/>
        <v>#VALUE!</v>
      </c>
      <c r="CQ11" s="32" t="e">
        <f t="shared" si="1"/>
        <v>#VALUE!</v>
      </c>
      <c r="CR11" s="32" t="e">
        <f t="shared" si="1"/>
        <v>#VALUE!</v>
      </c>
      <c r="CS11" s="32" t="e">
        <f t="shared" si="1"/>
        <v>#VALUE!</v>
      </c>
      <c r="CT11" s="32" t="e">
        <f t="shared" si="1"/>
        <v>#VALUE!</v>
      </c>
      <c r="CU11" s="32" t="e">
        <f t="shared" si="1"/>
        <v>#VALUE!</v>
      </c>
      <c r="CV11" s="32" t="e">
        <f t="shared" si="1"/>
        <v>#VALUE!</v>
      </c>
      <c r="CW11" s="32" t="e">
        <f t="shared" si="1"/>
        <v>#VALUE!</v>
      </c>
      <c r="CX11" s="32">
        <f t="shared" si="1"/>
        <v>3.903298917149467E-3</v>
      </c>
      <c r="CY11" s="32">
        <f t="shared" si="1"/>
        <v>1.7559262510975504E-3</v>
      </c>
      <c r="CZ11" s="32">
        <f t="shared" si="1"/>
        <v>2.0032552898459066E-3</v>
      </c>
      <c r="DA11" s="32">
        <f t="shared" si="1"/>
        <v>2.4990628514309776E-4</v>
      </c>
      <c r="DB11" s="32">
        <f t="shared" si="1"/>
        <v>7.4953154278589729E-4</v>
      </c>
      <c r="DC11" s="32">
        <f t="shared" si="1"/>
        <v>-3.7448508301085592E-3</v>
      </c>
      <c r="DD11" s="32">
        <f t="shared" si="1"/>
        <v>5.0119032702666821E-4</v>
      </c>
      <c r="DE11" s="32">
        <f t="shared" si="1"/>
        <v>-5.0093926111449694E-4</v>
      </c>
      <c r="DF11" s="32">
        <f t="shared" si="1"/>
        <v>-8.7708307229683591E-4</v>
      </c>
      <c r="DG11" s="32">
        <f t="shared" si="1"/>
        <v>-7.5244544770491917E-4</v>
      </c>
      <c r="DH11" s="32">
        <f t="shared" si="1"/>
        <v>1.1295180722890041E-3</v>
      </c>
      <c r="DI11" s="32">
        <f t="shared" si="1"/>
        <v>-4.0115331578286506E-3</v>
      </c>
      <c r="DJ11" s="32">
        <f t="shared" si="1"/>
        <v>3.2724984266834234E-3</v>
      </c>
      <c r="DK11" s="32">
        <f t="shared" si="1"/>
        <v>3.5127336595157654E-3</v>
      </c>
      <c r="DL11" s="32">
        <f t="shared" si="1"/>
        <v>2.8753594199275589E-3</v>
      </c>
      <c r="DM11" s="32">
        <f t="shared" si="1"/>
        <v>0</v>
      </c>
      <c r="DN11" s="32">
        <f t="shared" si="1"/>
        <v>-1.2465719272003462E-4</v>
      </c>
      <c r="DO11" s="32">
        <f t="shared" si="1"/>
        <v>-2.8674728836801666E-3</v>
      </c>
      <c r="DP11" s="32">
        <f t="shared" si="1"/>
        <v>1.6254063515879213E-3</v>
      </c>
      <c r="DQ11" s="32">
        <f t="shared" si="1"/>
        <v>1.6227686930470053E-3</v>
      </c>
      <c r="DR11" s="32">
        <f t="shared" si="1"/>
        <v>7.4775672981064467E-4</v>
      </c>
      <c r="DS11" s="32">
        <f t="shared" si="1"/>
        <v>3.7359900373590271E-4</v>
      </c>
      <c r="DT11" s="32">
        <f t="shared" si="1"/>
        <v>4.7304867421884556E-3</v>
      </c>
      <c r="DU11" s="32">
        <f t="shared" si="1"/>
        <v>-1.2390038409104687E-4</v>
      </c>
      <c r="DV11" s="32">
        <f t="shared" si="1"/>
        <v>1.2391573729861882E-3</v>
      </c>
      <c r="DW11" s="32">
        <f t="shared" si="1"/>
        <v>4.9504950495049549E-3</v>
      </c>
      <c r="DX11" s="32">
        <f t="shared" si="1"/>
        <v>0</v>
      </c>
      <c r="DY11" s="32">
        <f t="shared" si="1"/>
        <v>2.0935960591133007E-3</v>
      </c>
      <c r="DZ11" s="32">
        <f t="shared" si="1"/>
        <v>2.7036991520215103E-3</v>
      </c>
      <c r="EA11" s="32">
        <f t="shared" si="1"/>
        <v>-1.8384605956612843E-3</v>
      </c>
      <c r="EB11" s="32">
        <f t="shared" si="1"/>
        <v>1.9646365422396617E-3</v>
      </c>
      <c r="EC11" s="32">
        <f t="shared" si="1"/>
        <v>5.3921568627453009E-3</v>
      </c>
      <c r="ED11" s="32">
        <f t="shared" ref="ED11:GO11" si="9">ED5/EC5-1</f>
        <v>-1.2189176011702108E-3</v>
      </c>
      <c r="EE11" s="32">
        <f t="shared" si="9"/>
        <v>2.3187698315840777E-3</v>
      </c>
      <c r="EF11" s="32">
        <f t="shared" si="9"/>
        <v>-4.8703275295258752E-4</v>
      </c>
      <c r="EG11" s="32">
        <f t="shared" si="9"/>
        <v>-4.9945182117188125E-3</v>
      </c>
      <c r="EH11" s="32">
        <f t="shared" si="9"/>
        <v>2.6934378060725628E-3</v>
      </c>
      <c r="EI11" s="32">
        <f t="shared" si="9"/>
        <v>4.761904761904745E-3</v>
      </c>
      <c r="EJ11" s="32">
        <f t="shared" si="9"/>
        <v>5.1039008384978768E-3</v>
      </c>
      <c r="EK11" s="32">
        <f t="shared" si="9"/>
        <v>6.6497400556162489E-3</v>
      </c>
      <c r="EL11" s="32">
        <f t="shared" si="9"/>
        <v>6.0052846504921042E-4</v>
      </c>
      <c r="EM11" s="32">
        <f t="shared" si="9"/>
        <v>-2.2806385788020078E-3</v>
      </c>
      <c r="EN11" s="32">
        <f t="shared" si="9"/>
        <v>0</v>
      </c>
      <c r="EO11" s="32">
        <f t="shared" si="9"/>
        <v>1.8046198267565039E-3</v>
      </c>
      <c r="EP11" s="32">
        <f t="shared" si="9"/>
        <v>4.8036507745896628E-4</v>
      </c>
      <c r="EQ11" s="32">
        <f t="shared" si="9"/>
        <v>-3.0008402352659225E-3</v>
      </c>
      <c r="ER11" s="32">
        <f t="shared" si="9"/>
        <v>1.203948952564371E-3</v>
      </c>
      <c r="ES11" s="32">
        <f t="shared" si="9"/>
        <v>3.1265031265030885E-3</v>
      </c>
      <c r="ET11" s="32">
        <f t="shared" si="9"/>
        <v>1.1987532965715975E-3</v>
      </c>
      <c r="EU11" s="32">
        <f t="shared" si="9"/>
        <v>4.5498084291188956E-3</v>
      </c>
      <c r="EV11" s="32">
        <f t="shared" si="9"/>
        <v>3.8140643623361115E-3</v>
      </c>
      <c r="EW11" s="32">
        <f t="shared" si="9"/>
        <v>1.1873664212775914E-3</v>
      </c>
      <c r="EX11" s="32">
        <f t="shared" si="9"/>
        <v>-2.3719165085389626E-4</v>
      </c>
      <c r="EY11" s="32">
        <f t="shared" si="9"/>
        <v>0</v>
      </c>
      <c r="EZ11" s="32">
        <f t="shared" si="9"/>
        <v>2.2538552787663146E-3</v>
      </c>
      <c r="FA11" s="32">
        <f t="shared" si="9"/>
        <v>1.8937152325719797E-3</v>
      </c>
      <c r="FB11" s="32">
        <f t="shared" si="9"/>
        <v>1.4176018901357335E-3</v>
      </c>
      <c r="FC11" s="32">
        <f t="shared" si="9"/>
        <v>0</v>
      </c>
      <c r="FD11" s="32">
        <f t="shared" si="9"/>
        <v>1.6515276630884035E-3</v>
      </c>
      <c r="FE11" s="32">
        <f t="shared" si="9"/>
        <v>-1.177717583322746E-4</v>
      </c>
      <c r="FF11" s="32">
        <f t="shared" si="9"/>
        <v>7.0671378091871073E-3</v>
      </c>
      <c r="FG11" s="32">
        <f t="shared" si="9"/>
        <v>4.2105263157894424E-3</v>
      </c>
      <c r="FH11" s="32">
        <f t="shared" si="9"/>
        <v>-1.7470300489168533E-3</v>
      </c>
      <c r="FI11" s="32">
        <f t="shared" si="9"/>
        <v>-1.4000700035000646E-3</v>
      </c>
      <c r="FJ11" s="32">
        <f t="shared" si="9"/>
        <v>1.986213342680232E-3</v>
      </c>
      <c r="FK11" s="32">
        <f t="shared" si="9"/>
        <v>-1.1660447761194792E-3</v>
      </c>
      <c r="FL11" s="32">
        <f t="shared" si="9"/>
        <v>2.4515526500117346E-3</v>
      </c>
      <c r="FM11" s="32">
        <f t="shared" si="9"/>
        <v>3.9594736229182637E-3</v>
      </c>
      <c r="FN11" s="32">
        <f t="shared" si="9"/>
        <v>4.6398329660135573E-4</v>
      </c>
      <c r="FO11" s="32">
        <f t="shared" si="9"/>
        <v>-1.5072463768115441E-3</v>
      </c>
      <c r="FP11" s="32">
        <f t="shared" si="9"/>
        <v>1.0450534138410905E-3</v>
      </c>
      <c r="FQ11" s="32">
        <f t="shared" si="9"/>
        <v>-1.9719290105554288E-3</v>
      </c>
      <c r="FR11" s="32">
        <f t="shared" si="9"/>
        <v>4.1841004184099972E-3</v>
      </c>
      <c r="FS11" s="32">
        <f t="shared" si="9"/>
        <v>4.050925925925819E-3</v>
      </c>
      <c r="FT11" s="32">
        <f t="shared" si="9"/>
        <v>2.6512968299712281E-3</v>
      </c>
      <c r="FU11" s="32">
        <f t="shared" si="9"/>
        <v>3.9089445849618265E-3</v>
      </c>
      <c r="FV11" s="32">
        <f t="shared" si="9"/>
        <v>3.4356390288592387E-4</v>
      </c>
      <c r="FW11" s="32">
        <f t="shared" si="9"/>
        <v>-1.9461934745276244E-3</v>
      </c>
      <c r="FX11" s="32">
        <f t="shared" si="9"/>
        <v>2.0646937370956131E-3</v>
      </c>
      <c r="FY11" s="32">
        <f t="shared" si="9"/>
        <v>8.0128205128215946E-4</v>
      </c>
      <c r="FZ11" s="32">
        <f t="shared" si="9"/>
        <v>2.6306759693468518E-3</v>
      </c>
      <c r="GA11" s="32">
        <f t="shared" si="9"/>
        <v>3.4223134839161951E-4</v>
      </c>
      <c r="GB11" s="32">
        <f t="shared" si="9"/>
        <v>1.0263427984946727E-3</v>
      </c>
      <c r="GC11" s="32">
        <f t="shared" si="9"/>
        <v>-6.0378218272955086E-3</v>
      </c>
      <c r="GD11" s="32">
        <f t="shared" si="9"/>
        <v>6.418338108882482E-3</v>
      </c>
      <c r="GE11" s="32">
        <f t="shared" si="9"/>
        <v>6.7190524997153833E-3</v>
      </c>
      <c r="GF11" s="32">
        <f t="shared" si="9"/>
        <v>1.6968325791855143E-3</v>
      </c>
      <c r="GG11" s="32">
        <f t="shared" si="9"/>
        <v>5.646527385656519E-4</v>
      </c>
      <c r="GH11" s="32">
        <f t="shared" si="9"/>
        <v>1.1286681715576563E-3</v>
      </c>
      <c r="GI11" s="32">
        <f t="shared" si="9"/>
        <v>-1.8038331454339751E-3</v>
      </c>
      <c r="GJ11" s="32">
        <f t="shared" si="9"/>
        <v>3.9530155861757788E-3</v>
      </c>
      <c r="GK11" s="32">
        <f t="shared" si="9"/>
        <v>3.9374507818652482E-3</v>
      </c>
      <c r="GL11" s="32">
        <f t="shared" si="9"/>
        <v>-2.2411474675032572E-4</v>
      </c>
      <c r="GM11" s="32">
        <f t="shared" si="9"/>
        <v>-2.4658148397219692E-3</v>
      </c>
      <c r="GN11" s="32">
        <f t="shared" si="9"/>
        <v>1.1235955056179137E-3</v>
      </c>
      <c r="GO11" s="32">
        <f t="shared" si="9"/>
        <v>-1.2345679012345512E-3</v>
      </c>
      <c r="GP11" s="32">
        <f t="shared" si="2"/>
        <v>3.8206540060681249E-3</v>
      </c>
      <c r="GQ11" s="32">
        <f t="shared" si="3"/>
        <v>2.7986118885032774E-3</v>
      </c>
      <c r="GR11" s="32">
        <f t="shared" si="3"/>
        <v>4.4652824291138149E-3</v>
      </c>
      <c r="GS11" s="32">
        <f t="shared" si="3"/>
        <v>4.5565681262502711E-3</v>
      </c>
      <c r="GT11" s="32">
        <f t="shared" si="3"/>
        <v>-2.2126341409445249E-4</v>
      </c>
      <c r="GU11" s="32">
        <f t="shared" si="3"/>
        <v>-1.8811552506362572E-3</v>
      </c>
      <c r="GV11" s="32">
        <f t="shared" si="3"/>
        <v>3.4368070953436636E-3</v>
      </c>
      <c r="GW11" s="32">
        <f t="shared" si="3"/>
        <v>-2.5411556734062923E-3</v>
      </c>
      <c r="GX11" s="32">
        <f t="shared" si="3"/>
        <v>-2.547629596809986E-3</v>
      </c>
      <c r="GY11" s="32">
        <f t="shared" si="3"/>
        <v>1.110494169905607E-3</v>
      </c>
      <c r="GZ11" s="32">
        <f t="shared" si="3"/>
        <v>2.3294509151412512E-3</v>
      </c>
      <c r="HA11" s="32">
        <f t="shared" si="3"/>
        <v>-3.9840637450199168E-3</v>
      </c>
      <c r="HB11" s="32">
        <f t="shared" si="3"/>
        <v>1.8888888888888289E-3</v>
      </c>
      <c r="HC11" s="32">
        <f t="shared" si="3"/>
        <v>4.4360652101584908E-3</v>
      </c>
      <c r="HD11" s="32">
        <f t="shared" si="3"/>
        <v>4.8581207905489254E-3</v>
      </c>
      <c r="HE11" s="32">
        <f t="shared" si="3"/>
        <v>2.6370728491373896E-3</v>
      </c>
      <c r="HF11" s="32">
        <f t="shared" si="3"/>
        <v>1.2054794520548473E-3</v>
      </c>
      <c r="HG11" s="32">
        <f t="shared" si="3"/>
        <v>-2.8458844133100181E-3</v>
      </c>
      <c r="HH11" s="32">
        <f t="shared" si="3"/>
        <v>3.293084522502765E-3</v>
      </c>
      <c r="HI11" s="32">
        <f t="shared" si="3"/>
        <v>7.6586433260383835E-4</v>
      </c>
      <c r="HJ11" s="32">
        <f t="shared" si="3"/>
        <v>2.6238110856018348E-3</v>
      </c>
      <c r="HK11" s="32">
        <f t="shared" si="3"/>
        <v>5.7790862501363449E-3</v>
      </c>
      <c r="HL11" s="32">
        <f t="shared" si="3"/>
        <v>3.9028620988725837E-3</v>
      </c>
      <c r="HM11" s="32">
        <f t="shared" si="3"/>
        <v>-1.2958963282936331E-3</v>
      </c>
      <c r="HN11" s="32">
        <f t="shared" si="3"/>
        <v>2.1626297577854725E-3</v>
      </c>
      <c r="HO11" s="32">
        <f t="shared" si="3"/>
        <v>7.9844626672420649E-3</v>
      </c>
      <c r="HP11" s="32">
        <f t="shared" si="3"/>
        <v>3.6394776279169427E-3</v>
      </c>
      <c r="HQ11" s="32">
        <f t="shared" si="3"/>
        <v>5.6527303754265734E-3</v>
      </c>
      <c r="HR11" s="32">
        <f t="shared" si="3"/>
        <v>3.9240640576942987E-3</v>
      </c>
      <c r="HS11" s="32">
        <f t="shared" si="3"/>
        <v>-2.3241073315022343E-3</v>
      </c>
      <c r="HT11" s="32">
        <f t="shared" si="3"/>
        <v>-5.2943667937310757E-4</v>
      </c>
      <c r="HU11" s="32">
        <f t="shared" si="3"/>
        <v>-9.5349083589368888E-4</v>
      </c>
      <c r="HV11" s="32">
        <f t="shared" si="3"/>
        <v>-7.4231177094374878E-4</v>
      </c>
      <c r="HW11" s="32">
        <f t="shared" si="3"/>
        <v>-5.2000424493262587E-3</v>
      </c>
      <c r="HX11" s="32">
        <f t="shared" si="3"/>
        <v>-2.6669511414550984E-3</v>
      </c>
      <c r="HY11" s="32">
        <f t="shared" si="3"/>
        <v>-4.4924590865332847E-3</v>
      </c>
      <c r="HZ11" s="32">
        <f t="shared" si="3"/>
        <v>3.9755023100891407E-3</v>
      </c>
      <c r="IA11" s="32">
        <f t="shared" si="3"/>
        <v>1.8193493150684414E-3</v>
      </c>
      <c r="IB11" s="32">
        <f t="shared" si="3"/>
        <v>1.4955667129579187E-3</v>
      </c>
      <c r="IC11" s="32">
        <f t="shared" si="3"/>
        <v>1.4933333333333465E-3</v>
      </c>
      <c r="ID11" s="32">
        <f t="shared" si="3"/>
        <v>1.2780913835339636E-3</v>
      </c>
      <c r="IE11" s="32">
        <f t="shared" si="3"/>
        <v>-4.8930964790980802E-3</v>
      </c>
      <c r="IF11" s="32">
        <f t="shared" si="3"/>
        <v>5.3447354355959931E-3</v>
      </c>
      <c r="IG11" s="32">
        <f t="shared" si="3"/>
        <v>-2.7644869750131917E-3</v>
      </c>
      <c r="IH11" s="32">
        <f t="shared" si="3"/>
        <v>1.0662117496533785E-3</v>
      </c>
      <c r="II11" s="32">
        <f t="shared" si="3"/>
        <v>6.390456917670928E-4</v>
      </c>
      <c r="IJ11" s="32">
        <f t="shared" si="3"/>
        <v>2.5545502927089014E-3</v>
      </c>
      <c r="IK11" s="32">
        <f t="shared" si="3"/>
        <v>-2.5480411933325176E-3</v>
      </c>
      <c r="IL11" s="32">
        <f t="shared" si="3"/>
        <v>5.8541777541245565E-3</v>
      </c>
      <c r="IM11" s="32">
        <f t="shared" si="3"/>
        <v>5.1851851851851816E-3</v>
      </c>
      <c r="IN11" s="32">
        <f t="shared" si="3"/>
        <v>2.7371302242342743E-3</v>
      </c>
      <c r="IO11" s="32">
        <f t="shared" si="3"/>
        <v>1.1548556430445167E-3</v>
      </c>
      <c r="IP11" s="32">
        <f t="shared" si="3"/>
        <v>-2.0973154362413648E-4</v>
      </c>
      <c r="IQ11" s="32">
        <f t="shared" si="3"/>
        <v>-3.04174533249435E-3</v>
      </c>
      <c r="IR11" s="32">
        <f t="shared" si="3"/>
        <v>2.5249868490269112E-3</v>
      </c>
      <c r="IS11" s="32">
        <f t="shared" si="3"/>
        <v>-9.4448525553580964E-4</v>
      </c>
      <c r="IT11" s="32">
        <f t="shared" si="3"/>
        <v>1.4705882352941124E-3</v>
      </c>
      <c r="IU11" s="32">
        <f t="shared" si="3"/>
        <v>3.1466331025797878E-4</v>
      </c>
      <c r="IV11" s="32">
        <f t="shared" si="3"/>
        <v>4.6136101499423265E-3</v>
      </c>
      <c r="IW11" s="32">
        <f t="shared" si="3"/>
        <v>-2.5049577288384084E-3</v>
      </c>
      <c r="IX11" s="32">
        <f t="shared" si="3"/>
        <v>4.9178612535316635E-3</v>
      </c>
      <c r="IY11" s="32">
        <f t="shared" si="3"/>
        <v>8.7463556851310464E-3</v>
      </c>
      <c r="IZ11" s="32">
        <f t="shared" si="3"/>
        <v>3.6127167630057855E-3</v>
      </c>
      <c r="JA11" s="32">
        <f t="shared" si="3"/>
        <v>6.1709348966365596E-4</v>
      </c>
      <c r="JB11" s="32">
        <f t="shared" ref="JB11:LM11" si="10">JB5/JA5-1</f>
        <v>7.1949840682483668E-4</v>
      </c>
      <c r="JC11" s="32">
        <f t="shared" si="10"/>
        <v>-4.8274445357435747E-3</v>
      </c>
      <c r="JD11" s="32">
        <f t="shared" si="10"/>
        <v>5.5733305810714562E-3</v>
      </c>
      <c r="JE11" s="32">
        <f t="shared" si="10"/>
        <v>-9.2374012111262616E-4</v>
      </c>
      <c r="JF11" s="32">
        <f t="shared" si="10"/>
        <v>2.0546537908363582E-3</v>
      </c>
      <c r="JG11" s="32">
        <f t="shared" si="10"/>
        <v>2.2554849292597545E-3</v>
      </c>
      <c r="JH11" s="32">
        <f t="shared" si="10"/>
        <v>4.296235679214444E-3</v>
      </c>
      <c r="JI11" s="32">
        <f t="shared" si="10"/>
        <v>-3.8704420452231325E-3</v>
      </c>
      <c r="JJ11" s="32">
        <f t="shared" si="10"/>
        <v>4.2944785276073372E-3</v>
      </c>
      <c r="JK11" s="32">
        <f t="shared" si="10"/>
        <v>8.9594787212379234E-3</v>
      </c>
      <c r="JL11" s="32">
        <f t="shared" si="10"/>
        <v>1.2108980827447713E-3</v>
      </c>
      <c r="JM11" s="32">
        <f t="shared" si="10"/>
        <v>-7.0550292279780713E-4</v>
      </c>
      <c r="JN11" s="32">
        <f t="shared" si="10"/>
        <v>4.0342914775592931E-4</v>
      </c>
      <c r="JO11" s="32">
        <f t="shared" si="10"/>
        <v>-4.7383808851698683E-3</v>
      </c>
      <c r="JP11" s="32">
        <f t="shared" si="10"/>
        <v>7.0907617504052389E-3</v>
      </c>
      <c r="JQ11" s="32">
        <f t="shared" si="10"/>
        <v>-2.8163347415006701E-3</v>
      </c>
      <c r="JR11" s="32">
        <f t="shared" si="10"/>
        <v>5.043373007866947E-4</v>
      </c>
      <c r="JS11" s="32">
        <f t="shared" si="10"/>
        <v>-1.7138824478274417E-3</v>
      </c>
      <c r="JT11" s="32">
        <f t="shared" si="10"/>
        <v>3.3326600686729435E-3</v>
      </c>
      <c r="JU11" s="32">
        <f t="shared" si="10"/>
        <v>-5.6366381479616701E-3</v>
      </c>
      <c r="JV11" s="32">
        <f t="shared" si="10"/>
        <v>2.7330701488004205E-3</v>
      </c>
      <c r="JW11" s="32">
        <f t="shared" si="10"/>
        <v>8.2778114274175696E-3</v>
      </c>
      <c r="JX11" s="32">
        <f t="shared" si="10"/>
        <v>-1.6019223067680333E-3</v>
      </c>
      <c r="JY11" s="32">
        <f t="shared" si="10"/>
        <v>5.0140393100672753E-4</v>
      </c>
      <c r="JZ11" s="32">
        <f t="shared" si="10"/>
        <v>1.7039190137315696E-3</v>
      </c>
      <c r="KA11" s="32">
        <f t="shared" si="10"/>
        <v>-3.7022213327997378E-3</v>
      </c>
      <c r="KB11" s="32">
        <f t="shared" si="10"/>
        <v>4.619865421311653E-3</v>
      </c>
      <c r="KC11" s="32">
        <f t="shared" si="10"/>
        <v>-2.5992202339298887E-3</v>
      </c>
      <c r="KD11" s="32">
        <f t="shared" si="10"/>
        <v>-1.4032274230730835E-3</v>
      </c>
      <c r="KE11" s="32">
        <f t="shared" si="10"/>
        <v>-5.0185687042048066E-4</v>
      </c>
      <c r="KF11" s="32">
        <f t="shared" si="10"/>
        <v>3.7156055432818746E-3</v>
      </c>
      <c r="KG11" s="32">
        <f t="shared" si="10"/>
        <v>-6.6033016508253439E-3</v>
      </c>
      <c r="KH11" s="32">
        <f t="shared" si="10"/>
        <v>5.4386141605398119E-3</v>
      </c>
      <c r="KI11" s="32">
        <f t="shared" si="10"/>
        <v>4.8081738956224918E-3</v>
      </c>
      <c r="KJ11" s="32">
        <f t="shared" si="10"/>
        <v>-3.987638321204523E-4</v>
      </c>
      <c r="KK11" s="32">
        <f t="shared" si="10"/>
        <v>1.9946145407412352E-4</v>
      </c>
      <c r="KL11" s="32">
        <f t="shared" si="10"/>
        <v>-3.9884335427264883E-4</v>
      </c>
      <c r="KM11" s="32">
        <f t="shared" si="10"/>
        <v>-3.491271820448838E-3</v>
      </c>
      <c r="KN11" s="32">
        <f t="shared" si="10"/>
        <v>4.704704704704632E-3</v>
      </c>
      <c r="KO11" s="32">
        <f t="shared" si="10"/>
        <v>-4.1845172860416335E-3</v>
      </c>
      <c r="KP11" s="32">
        <f t="shared" si="10"/>
        <v>3.0015007503747526E-4</v>
      </c>
      <c r="KQ11" s="32">
        <f t="shared" si="10"/>
        <v>-1.900380076015229E-3</v>
      </c>
      <c r="KR11" s="32">
        <f t="shared" si="10"/>
        <v>9.0189397735240817E-4</v>
      </c>
      <c r="KS11" s="32">
        <f t="shared" si="10"/>
        <v>-1.0913095714857768E-2</v>
      </c>
      <c r="KT11" s="32">
        <f t="shared" si="10"/>
        <v>7.0857374228159298E-3</v>
      </c>
      <c r="KU11" s="32">
        <f t="shared" si="10"/>
        <v>7.0358830033170339E-3</v>
      </c>
      <c r="KV11" s="32">
        <f t="shared" si="10"/>
        <v>1.1977243237848434E-3</v>
      </c>
      <c r="KW11" s="32">
        <f t="shared" si="10"/>
        <v>2.5919649087826624E-3</v>
      </c>
      <c r="KX11" s="32">
        <f t="shared" si="10"/>
        <v>-8.9489907527084966E-4</v>
      </c>
      <c r="KY11" s="32">
        <f t="shared" si="10"/>
        <v>-4.4785031847134338E-3</v>
      </c>
      <c r="KZ11" s="32">
        <f t="shared" si="10"/>
        <v>3.3989803059082391E-3</v>
      </c>
      <c r="LA11" s="32">
        <f t="shared" si="10"/>
        <v>-4.2841486499950454E-3</v>
      </c>
      <c r="LB11" s="32">
        <f t="shared" si="10"/>
        <v>6.0036021612974722E-4</v>
      </c>
      <c r="LC11" s="32">
        <f t="shared" si="10"/>
        <v>-2.0999999999999908E-3</v>
      </c>
      <c r="LD11" s="32">
        <f t="shared" si="10"/>
        <v>2.4050506062731625E-3</v>
      </c>
      <c r="LE11" s="32">
        <f t="shared" si="10"/>
        <v>-1.0396880935719333E-2</v>
      </c>
      <c r="LF11" s="32">
        <f t="shared" si="10"/>
        <v>2.6265279321144863E-3</v>
      </c>
      <c r="LG11" s="32">
        <f t="shared" si="10"/>
        <v>7.5566750629723067E-3</v>
      </c>
      <c r="LH11" s="32">
        <f t="shared" si="10"/>
        <v>7.9999999999991189E-4</v>
      </c>
      <c r="LI11" s="32">
        <f t="shared" si="10"/>
        <v>4.3964828137490475E-3</v>
      </c>
      <c r="LJ11" s="32">
        <f t="shared" si="10"/>
        <v>1.3927576601671099E-3</v>
      </c>
      <c r="LK11" s="32">
        <f t="shared" si="10"/>
        <v>-4.0731174249950541E-3</v>
      </c>
      <c r="LL11" s="32">
        <f t="shared" si="10"/>
        <v>3.5910224438902016E-3</v>
      </c>
      <c r="LM11" s="32">
        <f t="shared" si="10"/>
        <v>-2.6836298578669648E-3</v>
      </c>
      <c r="LN11" s="32">
        <f t="shared" si="4"/>
        <v>2.9898345624879141E-4</v>
      </c>
      <c r="LO11" s="32">
        <f t="shared" si="5"/>
        <v>-1.9926272790682376E-4</v>
      </c>
      <c r="LP11" s="32">
        <f t="shared" si="5"/>
        <v>3.2884902840060182E-3</v>
      </c>
      <c r="LQ11" s="32">
        <f t="shared" si="5"/>
        <v>-2.6817640047677171E-3</v>
      </c>
      <c r="LR11" s="32">
        <f t="shared" si="5"/>
        <v>1.1951000896326391E-3</v>
      </c>
      <c r="LS11" s="32">
        <f t="shared" si="5"/>
        <v>6.5652044165920298E-3</v>
      </c>
      <c r="LT11" s="32">
        <f t="shared" si="5"/>
        <v>8.8941595019265129E-4</v>
      </c>
      <c r="LU11" s="32">
        <f t="shared" si="5"/>
        <v>5.924170616113944E-4</v>
      </c>
      <c r="LV11" s="32">
        <f t="shared" si="5"/>
        <v>9.8677718570971962E-5</v>
      </c>
      <c r="LW11" s="32">
        <f t="shared" si="5"/>
        <v>-3.7493833251109887E-3</v>
      </c>
      <c r="LX11" s="32">
        <f t="shared" si="5"/>
        <v>5.6452411607408326E-3</v>
      </c>
      <c r="LY11" s="32">
        <f t="shared" si="5"/>
        <v>-1.7727004136302016E-3</v>
      </c>
      <c r="LZ11" s="32">
        <f t="shared" si="5"/>
        <v>9.8658247829508383E-4</v>
      </c>
      <c r="MA11" s="32">
        <f t="shared" si="5"/>
        <v>6.8992706485326849E-4</v>
      </c>
      <c r="MB11" s="32">
        <f t="shared" si="5"/>
        <v>3.0532847434256993E-3</v>
      </c>
      <c r="MC11" s="32">
        <f t="shared" si="5"/>
        <v>-9.8193244304800587E-4</v>
      </c>
      <c r="MD11" s="32">
        <f t="shared" si="5"/>
        <v>-4.9144879103590888E-4</v>
      </c>
      <c r="ME11" s="32">
        <f t="shared" si="5"/>
        <v>8.260399252630668E-3</v>
      </c>
      <c r="MF11" s="32">
        <f t="shared" si="5"/>
        <v>1.7555837315905709E-3</v>
      </c>
      <c r="MG11" s="32">
        <f t="shared" si="5"/>
        <v>4.7707136598189592E-3</v>
      </c>
      <c r="MH11" s="32">
        <f t="shared" si="5"/>
        <v>8.7209302325574889E-4</v>
      </c>
      <c r="MI11" s="32">
        <f t="shared" si="5"/>
        <v>-1.0649627263045192E-3</v>
      </c>
      <c r="MJ11" s="32">
        <f t="shared" si="5"/>
        <v>5.4274084124830146E-3</v>
      </c>
      <c r="MK11" s="32">
        <f t="shared" si="5"/>
        <v>-2.4098708309234773E-3</v>
      </c>
      <c r="ML11" s="32">
        <f t="shared" si="5"/>
        <v>1.1595323219635301E-3</v>
      </c>
      <c r="MM11" s="32">
        <f t="shared" si="5"/>
        <v>-2.3163787279220083E-3</v>
      </c>
      <c r="MN11" s="32">
        <f t="shared" si="5"/>
        <v>9.6739866498829485E-5</v>
      </c>
      <c r="MO11" s="32">
        <f t="shared" si="5"/>
        <v>-5.0299864577286746E-3</v>
      </c>
      <c r="MP11" s="32">
        <f t="shared" si="5"/>
        <v>1.9443904335991746E-4</v>
      </c>
      <c r="MQ11" s="32">
        <f t="shared" si="5"/>
        <v>7.1928460342147726E-3</v>
      </c>
      <c r="MR11" s="32">
        <f t="shared" si="5"/>
        <v>3.3777263076626429E-3</v>
      </c>
      <c r="MS11" s="32">
        <f t="shared" si="5"/>
        <v>1.0579974992785957E-3</v>
      </c>
      <c r="MT11" s="32">
        <f t="shared" si="5"/>
        <v>2.5941583397386392E-3</v>
      </c>
      <c r="MU11" s="32">
        <f t="shared" si="5"/>
        <v>-2.1082894106372319E-3</v>
      </c>
      <c r="MV11" s="32">
        <f t="shared" si="5"/>
        <v>4.8977239988476917E-3</v>
      </c>
      <c r="MW11" s="32">
        <f t="shared" si="5"/>
        <v>-3.7270642201835402E-3</v>
      </c>
      <c r="MX11" s="32">
        <f t="shared" si="5"/>
        <v>-4.7961630695436686E-4</v>
      </c>
      <c r="MY11" s="32">
        <f t="shared" si="5"/>
        <v>-7.6775431861797472E-4</v>
      </c>
      <c r="MZ11" s="32">
        <f t="shared" si="5"/>
        <v>4.8021513638110136E-3</v>
      </c>
      <c r="NA11" s="32">
        <f t="shared" si="5"/>
        <v>-4.5880328809023707E-3</v>
      </c>
      <c r="NB11" s="32">
        <f t="shared" si="5"/>
        <v>-9.6024582293074978E-5</v>
      </c>
      <c r="NC11" s="32">
        <f t="shared" si="5"/>
        <v>-9.6033803898964987E-4</v>
      </c>
      <c r="ND11" s="32">
        <f t="shared" si="5"/>
        <v>-2.8837835239836629E-4</v>
      </c>
      <c r="NE11" s="32">
        <f t="shared" si="5"/>
        <v>1.5384615384614886E-3</v>
      </c>
      <c r="NF11" s="32">
        <f t="shared" si="5"/>
        <v>8.6405529953914595E-4</v>
      </c>
      <c r="NG11" s="32">
        <f t="shared" si="5"/>
        <v>4.0287769784173033E-3</v>
      </c>
      <c r="NH11" s="32">
        <f t="shared" si="5"/>
        <v>-9.5538358651003907E-4</v>
      </c>
      <c r="NI11" s="32">
        <f t="shared" si="5"/>
        <v>-5.6421535813330204E-3</v>
      </c>
      <c r="NJ11" s="32">
        <f t="shared" si="5"/>
        <v>-4.8086170417382945E-4</v>
      </c>
      <c r="NK11" s="32">
        <f t="shared" si="5"/>
        <v>1.1546233041468401E-3</v>
      </c>
      <c r="NL11" s="32">
        <f t="shared" si="5"/>
        <v>2.3065833733781904E-3</v>
      </c>
      <c r="NM11" s="32">
        <f t="shared" si="5"/>
        <v>1.5341835267044246E-3</v>
      </c>
      <c r="NN11" s="32">
        <f t="shared" si="5"/>
        <v>-4.7869794159882684E-4</v>
      </c>
      <c r="NO11" s="32">
        <f t="shared" si="5"/>
        <v>6.609195402298873E-3</v>
      </c>
      <c r="NP11" s="32">
        <f t="shared" si="5"/>
        <v>1.0467218574554682E-3</v>
      </c>
      <c r="NQ11" s="32">
        <f t="shared" si="5"/>
        <v>3.6121673003801646E-3</v>
      </c>
      <c r="NR11" s="32">
        <f t="shared" si="5"/>
        <v>1.4207236218981567E-3</v>
      </c>
      <c r="NS11" s="32">
        <f t="shared" si="5"/>
        <v>6.6206374728072781E-4</v>
      </c>
      <c r="NT11" s="32">
        <f t="shared" si="5"/>
        <v>6.6162570888468331E-3</v>
      </c>
      <c r="NU11" s="32">
        <f t="shared" si="5"/>
        <v>-2.3474178403756207E-3</v>
      </c>
      <c r="NV11" s="32">
        <f t="shared" si="5"/>
        <v>4.5176470588235151E-3</v>
      </c>
      <c r="NW11" s="32">
        <f t="shared" si="5"/>
        <v>4.2162466035791102E-3</v>
      </c>
      <c r="NX11" s="32">
        <f t="shared" si="5"/>
        <v>2.0526217577905292E-3</v>
      </c>
      <c r="NY11" s="32">
        <f t="shared" si="5"/>
        <v>2.7001862197391091E-3</v>
      </c>
      <c r="NZ11" s="32">
        <f t="shared" ref="NZ11:OA11" si="11">NZ5/NY5-1</f>
        <v>8.0787445445260619E-3</v>
      </c>
      <c r="OA11" s="32">
        <f t="shared" si="11"/>
        <v>1.5475313190862039E-2</v>
      </c>
    </row>
    <row r="13" spans="1:391" x14ac:dyDescent="0.3">
      <c r="A13" s="24" t="s">
        <v>22</v>
      </c>
      <c r="B13" s="24" t="s">
        <v>23</v>
      </c>
      <c r="C13" s="24" t="s">
        <v>24</v>
      </c>
      <c r="D13" s="24" t="s">
        <v>25</v>
      </c>
      <c r="E13" s="25" t="s">
        <v>412</v>
      </c>
      <c r="F13" s="25" t="s">
        <v>411</v>
      </c>
      <c r="G13" s="25" t="s">
        <v>410</v>
      </c>
      <c r="H13" s="25" t="s">
        <v>409</v>
      </c>
      <c r="I13" s="25" t="s">
        <v>408</v>
      </c>
      <c r="J13" s="25" t="s">
        <v>407</v>
      </c>
      <c r="K13" s="25" t="s">
        <v>406</v>
      </c>
      <c r="L13" s="25" t="s">
        <v>405</v>
      </c>
      <c r="M13" s="25" t="s">
        <v>404</v>
      </c>
      <c r="N13" s="25" t="s">
        <v>403</v>
      </c>
      <c r="O13" s="25" t="s">
        <v>402</v>
      </c>
      <c r="P13" s="25" t="s">
        <v>401</v>
      </c>
      <c r="Q13" s="25" t="s">
        <v>400</v>
      </c>
      <c r="R13" s="25" t="s">
        <v>399</v>
      </c>
      <c r="S13" s="25" t="s">
        <v>398</v>
      </c>
      <c r="T13" s="25" t="s">
        <v>397</v>
      </c>
      <c r="U13" s="25" t="s">
        <v>396</v>
      </c>
      <c r="V13" s="25" t="s">
        <v>395</v>
      </c>
      <c r="W13" s="25" t="s">
        <v>394</v>
      </c>
      <c r="X13" s="25" t="s">
        <v>393</v>
      </c>
      <c r="Y13" s="25" t="s">
        <v>392</v>
      </c>
      <c r="Z13" s="25" t="s">
        <v>391</v>
      </c>
      <c r="AA13" s="25" t="s">
        <v>390</v>
      </c>
      <c r="AB13" s="25" t="s">
        <v>389</v>
      </c>
      <c r="AC13" s="25" t="s">
        <v>388</v>
      </c>
      <c r="AD13" s="25" t="s">
        <v>387</v>
      </c>
      <c r="AE13" s="25" t="s">
        <v>386</v>
      </c>
      <c r="AF13" s="25" t="s">
        <v>385</v>
      </c>
      <c r="AG13" s="25" t="s">
        <v>384</v>
      </c>
      <c r="AH13" s="25" t="s">
        <v>383</v>
      </c>
      <c r="AI13" s="25" t="s">
        <v>382</v>
      </c>
      <c r="AJ13" s="25" t="s">
        <v>381</v>
      </c>
      <c r="AK13" s="25" t="s">
        <v>380</v>
      </c>
      <c r="AL13" s="25" t="s">
        <v>379</v>
      </c>
      <c r="AM13" s="25" t="s">
        <v>378</v>
      </c>
      <c r="AN13" s="25" t="s">
        <v>377</v>
      </c>
      <c r="AO13" s="25" t="s">
        <v>376</v>
      </c>
      <c r="AP13" s="25" t="s">
        <v>375</v>
      </c>
      <c r="AQ13" s="25" t="s">
        <v>374</v>
      </c>
      <c r="AR13" s="25" t="s">
        <v>373</v>
      </c>
      <c r="AS13" s="25" t="s">
        <v>372</v>
      </c>
      <c r="AT13" s="25" t="s">
        <v>371</v>
      </c>
      <c r="AU13" s="25" t="s">
        <v>370</v>
      </c>
      <c r="AV13" s="25" t="s">
        <v>369</v>
      </c>
      <c r="AW13" s="25" t="s">
        <v>368</v>
      </c>
      <c r="AX13" s="25" t="s">
        <v>367</v>
      </c>
      <c r="AY13" s="25" t="s">
        <v>366</v>
      </c>
      <c r="AZ13" s="25" t="s">
        <v>365</v>
      </c>
      <c r="BA13" s="25" t="s">
        <v>364</v>
      </c>
      <c r="BB13" s="25" t="s">
        <v>363</v>
      </c>
      <c r="BC13" s="25" t="s">
        <v>362</v>
      </c>
      <c r="BD13" s="25" t="s">
        <v>361</v>
      </c>
      <c r="BE13" s="25" t="s">
        <v>360</v>
      </c>
      <c r="BF13" s="25" t="s">
        <v>359</v>
      </c>
      <c r="BG13" s="25" t="s">
        <v>358</v>
      </c>
      <c r="BH13" s="25" t="s">
        <v>357</v>
      </c>
      <c r="BI13" s="25" t="s">
        <v>356</v>
      </c>
      <c r="BJ13" s="25" t="s">
        <v>355</v>
      </c>
      <c r="BK13" s="25" t="s">
        <v>354</v>
      </c>
      <c r="BL13" s="25" t="s">
        <v>353</v>
      </c>
      <c r="BM13" s="25" t="s">
        <v>352</v>
      </c>
      <c r="BN13" s="25" t="s">
        <v>351</v>
      </c>
      <c r="BO13" s="25" t="s">
        <v>350</v>
      </c>
      <c r="BP13" s="25" t="s">
        <v>349</v>
      </c>
      <c r="BQ13" s="25" t="s">
        <v>348</v>
      </c>
      <c r="BR13" s="25" t="s">
        <v>347</v>
      </c>
      <c r="BS13" s="25" t="s">
        <v>346</v>
      </c>
      <c r="BT13" s="25" t="s">
        <v>345</v>
      </c>
      <c r="BU13" s="25" t="s">
        <v>344</v>
      </c>
      <c r="BV13" s="25" t="s">
        <v>343</v>
      </c>
      <c r="BW13" s="25" t="s">
        <v>342</v>
      </c>
      <c r="BX13" s="25" t="s">
        <v>341</v>
      </c>
      <c r="BY13" s="25" t="s">
        <v>340</v>
      </c>
      <c r="BZ13" s="25" t="s">
        <v>339</v>
      </c>
      <c r="CA13" s="25" t="s">
        <v>338</v>
      </c>
      <c r="CB13" s="25" t="s">
        <v>337</v>
      </c>
      <c r="CC13" s="25" t="s">
        <v>336</v>
      </c>
      <c r="CD13" s="25" t="s">
        <v>335</v>
      </c>
      <c r="CE13" s="25" t="s">
        <v>334</v>
      </c>
      <c r="CF13" s="25" t="s">
        <v>333</v>
      </c>
      <c r="CG13" s="25" t="s">
        <v>332</v>
      </c>
      <c r="CH13" s="25" t="s">
        <v>331</v>
      </c>
      <c r="CI13" s="25" t="s">
        <v>330</v>
      </c>
      <c r="CJ13" s="25" t="s">
        <v>329</v>
      </c>
      <c r="CK13" s="25" t="s">
        <v>328</v>
      </c>
      <c r="CL13" s="25" t="s">
        <v>327</v>
      </c>
      <c r="CM13" s="25" t="s">
        <v>326</v>
      </c>
      <c r="CN13" s="25" t="s">
        <v>325</v>
      </c>
      <c r="CO13" s="25" t="s">
        <v>324</v>
      </c>
      <c r="CP13" s="25" t="s">
        <v>323</v>
      </c>
      <c r="CQ13" s="25" t="s">
        <v>322</v>
      </c>
      <c r="CR13" s="25" t="s">
        <v>321</v>
      </c>
      <c r="CS13" s="25" t="s">
        <v>320</v>
      </c>
      <c r="CT13" s="25" t="s">
        <v>319</v>
      </c>
      <c r="CU13" s="25" t="s">
        <v>318</v>
      </c>
      <c r="CV13" s="25" t="s">
        <v>317</v>
      </c>
      <c r="CW13" s="25" t="s">
        <v>316</v>
      </c>
      <c r="CX13" s="25" t="s">
        <v>315</v>
      </c>
      <c r="CY13" s="25" t="s">
        <v>314</v>
      </c>
      <c r="CZ13" s="25" t="s">
        <v>313</v>
      </c>
      <c r="DA13" s="25" t="s">
        <v>312</v>
      </c>
      <c r="DB13" s="25" t="s">
        <v>311</v>
      </c>
      <c r="DC13" s="25" t="s">
        <v>310</v>
      </c>
      <c r="DD13" s="25" t="s">
        <v>309</v>
      </c>
      <c r="DE13" s="25" t="s">
        <v>308</v>
      </c>
      <c r="DF13" s="25" t="s">
        <v>307</v>
      </c>
      <c r="DG13" s="25" t="s">
        <v>306</v>
      </c>
      <c r="DH13" s="25" t="s">
        <v>305</v>
      </c>
      <c r="DI13" s="25" t="s">
        <v>304</v>
      </c>
      <c r="DJ13" s="25" t="s">
        <v>303</v>
      </c>
      <c r="DK13" s="25" t="s">
        <v>302</v>
      </c>
      <c r="DL13" s="25" t="s">
        <v>301</v>
      </c>
      <c r="DM13" s="25" t="s">
        <v>300</v>
      </c>
      <c r="DN13" s="25" t="s">
        <v>299</v>
      </c>
      <c r="DO13" s="25" t="s">
        <v>298</v>
      </c>
      <c r="DP13" s="25" t="s">
        <v>297</v>
      </c>
      <c r="DQ13" s="25" t="s">
        <v>296</v>
      </c>
      <c r="DR13" s="25" t="s">
        <v>295</v>
      </c>
      <c r="DS13" s="25" t="s">
        <v>294</v>
      </c>
      <c r="DT13" s="25" t="s">
        <v>293</v>
      </c>
      <c r="DU13" s="25" t="s">
        <v>292</v>
      </c>
      <c r="DV13" s="25" t="s">
        <v>291</v>
      </c>
      <c r="DW13" s="25" t="s">
        <v>290</v>
      </c>
      <c r="DX13" s="25" t="s">
        <v>289</v>
      </c>
      <c r="DY13" s="25" t="s">
        <v>288</v>
      </c>
      <c r="DZ13" s="25" t="s">
        <v>287</v>
      </c>
      <c r="EA13" s="25" t="s">
        <v>286</v>
      </c>
      <c r="EB13" s="25" t="s">
        <v>285</v>
      </c>
      <c r="EC13" s="25" t="s">
        <v>284</v>
      </c>
      <c r="ED13" s="25" t="s">
        <v>283</v>
      </c>
      <c r="EE13" s="25" t="s">
        <v>282</v>
      </c>
      <c r="EF13" s="25" t="s">
        <v>281</v>
      </c>
      <c r="EG13" s="25" t="s">
        <v>280</v>
      </c>
      <c r="EH13" s="25" t="s">
        <v>279</v>
      </c>
      <c r="EI13" s="25" t="s">
        <v>278</v>
      </c>
      <c r="EJ13" s="25" t="s">
        <v>277</v>
      </c>
      <c r="EK13" s="25" t="s">
        <v>276</v>
      </c>
      <c r="EL13" s="25" t="s">
        <v>275</v>
      </c>
      <c r="EM13" s="25" t="s">
        <v>274</v>
      </c>
      <c r="EN13" s="25" t="s">
        <v>273</v>
      </c>
      <c r="EO13" s="25" t="s">
        <v>272</v>
      </c>
      <c r="EP13" s="25" t="s">
        <v>271</v>
      </c>
      <c r="EQ13" s="25" t="s">
        <v>270</v>
      </c>
      <c r="ER13" s="25" t="s">
        <v>269</v>
      </c>
      <c r="ES13" s="25" t="s">
        <v>268</v>
      </c>
      <c r="ET13" s="25" t="s">
        <v>267</v>
      </c>
      <c r="EU13" s="25" t="s">
        <v>266</v>
      </c>
      <c r="EV13" s="25" t="s">
        <v>265</v>
      </c>
      <c r="EW13" s="25" t="s">
        <v>264</v>
      </c>
      <c r="EX13" s="25" t="s">
        <v>263</v>
      </c>
      <c r="EY13" s="25" t="s">
        <v>262</v>
      </c>
      <c r="EZ13" s="25" t="s">
        <v>261</v>
      </c>
      <c r="FA13" s="25" t="s">
        <v>260</v>
      </c>
      <c r="FB13" s="25" t="s">
        <v>259</v>
      </c>
      <c r="FC13" s="25" t="s">
        <v>258</v>
      </c>
      <c r="FD13" s="25" t="s">
        <v>257</v>
      </c>
      <c r="FE13" s="25" t="s">
        <v>256</v>
      </c>
      <c r="FF13" s="25" t="s">
        <v>255</v>
      </c>
      <c r="FG13" s="25" t="s">
        <v>254</v>
      </c>
      <c r="FH13" s="25" t="s">
        <v>253</v>
      </c>
      <c r="FI13" s="25" t="s">
        <v>252</v>
      </c>
      <c r="FJ13" s="25" t="s">
        <v>251</v>
      </c>
      <c r="FK13" s="25" t="s">
        <v>250</v>
      </c>
      <c r="FL13" s="25" t="s">
        <v>249</v>
      </c>
      <c r="FM13" s="25" t="s">
        <v>248</v>
      </c>
      <c r="FN13" s="25" t="s">
        <v>247</v>
      </c>
      <c r="FO13" s="25" t="s">
        <v>246</v>
      </c>
      <c r="FP13" s="25" t="s">
        <v>245</v>
      </c>
      <c r="FQ13" s="25" t="s">
        <v>244</v>
      </c>
      <c r="FR13" s="25" t="s">
        <v>243</v>
      </c>
      <c r="FS13" s="25" t="s">
        <v>242</v>
      </c>
      <c r="FT13" s="25" t="s">
        <v>241</v>
      </c>
      <c r="FU13" s="25" t="s">
        <v>240</v>
      </c>
      <c r="FV13" s="25" t="s">
        <v>239</v>
      </c>
      <c r="FW13" s="25" t="s">
        <v>238</v>
      </c>
      <c r="FX13" s="25" t="s">
        <v>237</v>
      </c>
      <c r="FY13" s="25" t="s">
        <v>236</v>
      </c>
      <c r="FZ13" s="25" t="s">
        <v>235</v>
      </c>
      <c r="GA13" s="25" t="s">
        <v>234</v>
      </c>
      <c r="GB13" s="25" t="s">
        <v>233</v>
      </c>
      <c r="GC13" s="25" t="s">
        <v>232</v>
      </c>
      <c r="GD13" s="25" t="s">
        <v>231</v>
      </c>
      <c r="GE13" s="25" t="s">
        <v>230</v>
      </c>
      <c r="GF13" s="25" t="s">
        <v>229</v>
      </c>
      <c r="GG13" s="25" t="s">
        <v>228</v>
      </c>
      <c r="GH13" s="25" t="s">
        <v>227</v>
      </c>
      <c r="GI13" s="25" t="s">
        <v>226</v>
      </c>
      <c r="GJ13" s="25" t="s">
        <v>225</v>
      </c>
      <c r="GK13" s="25" t="s">
        <v>224</v>
      </c>
      <c r="GL13" s="25" t="s">
        <v>223</v>
      </c>
      <c r="GM13" s="25" t="s">
        <v>222</v>
      </c>
      <c r="GN13" s="25" t="s">
        <v>221</v>
      </c>
      <c r="GO13" s="25" t="s">
        <v>220</v>
      </c>
      <c r="GP13" s="25" t="s">
        <v>219</v>
      </c>
      <c r="GQ13" s="25" t="s">
        <v>218</v>
      </c>
      <c r="GR13" s="25" t="s">
        <v>217</v>
      </c>
      <c r="GS13" s="25" t="s">
        <v>216</v>
      </c>
      <c r="GT13" s="25" t="s">
        <v>215</v>
      </c>
      <c r="GU13" s="25" t="s">
        <v>214</v>
      </c>
      <c r="GV13" s="25" t="s">
        <v>213</v>
      </c>
      <c r="GW13" s="25" t="s">
        <v>212</v>
      </c>
      <c r="GX13" s="25" t="s">
        <v>211</v>
      </c>
      <c r="GY13" s="25" t="s">
        <v>210</v>
      </c>
      <c r="GZ13" s="25" t="s">
        <v>209</v>
      </c>
      <c r="HA13" s="25" t="s">
        <v>208</v>
      </c>
      <c r="HB13" s="25" t="s">
        <v>207</v>
      </c>
      <c r="HC13" s="25" t="s">
        <v>206</v>
      </c>
      <c r="HD13" s="25" t="s">
        <v>205</v>
      </c>
      <c r="HE13" s="25" t="s">
        <v>204</v>
      </c>
      <c r="HF13" s="25" t="s">
        <v>203</v>
      </c>
      <c r="HG13" s="25" t="s">
        <v>202</v>
      </c>
      <c r="HH13" s="25" t="s">
        <v>201</v>
      </c>
      <c r="HI13" s="25" t="s">
        <v>200</v>
      </c>
      <c r="HJ13" s="25" t="s">
        <v>199</v>
      </c>
      <c r="HK13" s="25" t="s">
        <v>198</v>
      </c>
      <c r="HL13" s="25" t="s">
        <v>197</v>
      </c>
      <c r="HM13" s="25" t="s">
        <v>196</v>
      </c>
      <c r="HN13" s="25" t="s">
        <v>195</v>
      </c>
      <c r="HO13" s="25" t="s">
        <v>194</v>
      </c>
      <c r="HP13" s="25" t="s">
        <v>193</v>
      </c>
      <c r="HQ13" s="25" t="s">
        <v>192</v>
      </c>
      <c r="HR13" s="25" t="s">
        <v>191</v>
      </c>
      <c r="HS13" s="25" t="s">
        <v>190</v>
      </c>
      <c r="HT13" s="25" t="s">
        <v>189</v>
      </c>
      <c r="HU13" s="25" t="s">
        <v>188</v>
      </c>
      <c r="HV13" s="25" t="s">
        <v>187</v>
      </c>
      <c r="HW13" s="25" t="s">
        <v>186</v>
      </c>
      <c r="HX13" s="25" t="s">
        <v>185</v>
      </c>
      <c r="HY13" s="25" t="s">
        <v>184</v>
      </c>
      <c r="HZ13" s="25" t="s">
        <v>183</v>
      </c>
      <c r="IA13" s="25" t="s">
        <v>182</v>
      </c>
      <c r="IB13" s="25" t="s">
        <v>181</v>
      </c>
      <c r="IC13" s="25" t="s">
        <v>180</v>
      </c>
      <c r="ID13" s="25" t="s">
        <v>179</v>
      </c>
      <c r="IE13" s="25" t="s">
        <v>178</v>
      </c>
      <c r="IF13" s="25" t="s">
        <v>177</v>
      </c>
      <c r="IG13" s="25" t="s">
        <v>176</v>
      </c>
      <c r="IH13" s="25" t="s">
        <v>175</v>
      </c>
      <c r="II13" s="25" t="s">
        <v>174</v>
      </c>
      <c r="IJ13" s="25" t="s">
        <v>173</v>
      </c>
      <c r="IK13" s="25" t="s">
        <v>172</v>
      </c>
      <c r="IL13" s="25" t="s">
        <v>171</v>
      </c>
      <c r="IM13" s="25" t="s">
        <v>170</v>
      </c>
      <c r="IN13" s="25" t="s">
        <v>169</v>
      </c>
      <c r="IO13" s="25" t="s">
        <v>168</v>
      </c>
      <c r="IP13" s="25" t="s">
        <v>167</v>
      </c>
      <c r="IQ13" s="25" t="s">
        <v>166</v>
      </c>
      <c r="IR13" s="25" t="s">
        <v>165</v>
      </c>
      <c r="IS13" s="25" t="s">
        <v>164</v>
      </c>
      <c r="IT13" s="25" t="s">
        <v>163</v>
      </c>
      <c r="IU13" s="25" t="s">
        <v>162</v>
      </c>
      <c r="IV13" s="25" t="s">
        <v>161</v>
      </c>
      <c r="IW13" s="25" t="s">
        <v>160</v>
      </c>
      <c r="IX13" s="25" t="s">
        <v>159</v>
      </c>
      <c r="IY13" s="25" t="s">
        <v>158</v>
      </c>
      <c r="IZ13" s="25" t="s">
        <v>157</v>
      </c>
      <c r="JA13" s="25" t="s">
        <v>156</v>
      </c>
      <c r="JB13" s="25" t="s">
        <v>155</v>
      </c>
      <c r="JC13" s="25" t="s">
        <v>154</v>
      </c>
      <c r="JD13" s="25" t="s">
        <v>153</v>
      </c>
      <c r="JE13" s="25" t="s">
        <v>152</v>
      </c>
      <c r="JF13" s="25" t="s">
        <v>151</v>
      </c>
      <c r="JG13" s="25" t="s">
        <v>150</v>
      </c>
      <c r="JH13" s="25" t="s">
        <v>149</v>
      </c>
      <c r="JI13" s="25" t="s">
        <v>148</v>
      </c>
      <c r="JJ13" s="25" t="s">
        <v>147</v>
      </c>
      <c r="JK13" s="25" t="s">
        <v>146</v>
      </c>
      <c r="JL13" s="25" t="s">
        <v>145</v>
      </c>
      <c r="JM13" s="25" t="s">
        <v>144</v>
      </c>
      <c r="JN13" s="25" t="s">
        <v>143</v>
      </c>
      <c r="JO13" s="25" t="s">
        <v>142</v>
      </c>
      <c r="JP13" s="25" t="s">
        <v>141</v>
      </c>
      <c r="JQ13" s="25" t="s">
        <v>140</v>
      </c>
      <c r="JR13" s="25" t="s">
        <v>139</v>
      </c>
      <c r="JS13" s="25" t="s">
        <v>138</v>
      </c>
      <c r="JT13" s="25" t="s">
        <v>137</v>
      </c>
      <c r="JU13" s="25" t="s">
        <v>136</v>
      </c>
      <c r="JV13" s="25" t="s">
        <v>135</v>
      </c>
      <c r="JW13" s="25" t="s">
        <v>134</v>
      </c>
      <c r="JX13" s="25" t="s">
        <v>133</v>
      </c>
      <c r="JY13" s="25" t="s">
        <v>132</v>
      </c>
      <c r="JZ13" s="25" t="s">
        <v>131</v>
      </c>
      <c r="KA13" s="25" t="s">
        <v>130</v>
      </c>
      <c r="KB13" s="25" t="s">
        <v>129</v>
      </c>
      <c r="KC13" s="25" t="s">
        <v>128</v>
      </c>
      <c r="KD13" s="25" t="s">
        <v>127</v>
      </c>
      <c r="KE13" s="25" t="s">
        <v>126</v>
      </c>
      <c r="KF13" s="25" t="s">
        <v>125</v>
      </c>
      <c r="KG13" s="25" t="s">
        <v>124</v>
      </c>
      <c r="KH13" s="25" t="s">
        <v>123</v>
      </c>
      <c r="KI13" s="25" t="s">
        <v>122</v>
      </c>
      <c r="KJ13" s="25" t="s">
        <v>121</v>
      </c>
      <c r="KK13" s="25" t="s">
        <v>120</v>
      </c>
      <c r="KL13" s="25" t="s">
        <v>119</v>
      </c>
      <c r="KM13" s="25" t="s">
        <v>118</v>
      </c>
      <c r="KN13" s="25" t="s">
        <v>117</v>
      </c>
      <c r="KO13" s="25" t="s">
        <v>116</v>
      </c>
      <c r="KP13" s="25" t="s">
        <v>115</v>
      </c>
      <c r="KQ13" s="25" t="s">
        <v>114</v>
      </c>
      <c r="KR13" s="25" t="s">
        <v>113</v>
      </c>
      <c r="KS13" s="25" t="s">
        <v>112</v>
      </c>
      <c r="KT13" s="25" t="s">
        <v>111</v>
      </c>
      <c r="KU13" s="25" t="s">
        <v>110</v>
      </c>
      <c r="KV13" s="25" t="s">
        <v>109</v>
      </c>
      <c r="KW13" s="25" t="s">
        <v>108</v>
      </c>
      <c r="KX13" s="25" t="s">
        <v>107</v>
      </c>
      <c r="KY13" s="25" t="s">
        <v>106</v>
      </c>
      <c r="KZ13" s="25" t="s">
        <v>105</v>
      </c>
      <c r="LA13" s="25" t="s">
        <v>104</v>
      </c>
      <c r="LB13" s="25" t="s">
        <v>103</v>
      </c>
      <c r="LC13" s="25" t="s">
        <v>102</v>
      </c>
      <c r="LD13" s="25" t="s">
        <v>101</v>
      </c>
      <c r="LE13" s="25" t="s">
        <v>100</v>
      </c>
      <c r="LF13" s="25" t="s">
        <v>99</v>
      </c>
      <c r="LG13" s="25" t="s">
        <v>98</v>
      </c>
      <c r="LH13" s="25" t="s">
        <v>97</v>
      </c>
      <c r="LI13" s="25" t="s">
        <v>96</v>
      </c>
      <c r="LJ13" s="25" t="s">
        <v>95</v>
      </c>
      <c r="LK13" s="25" t="s">
        <v>94</v>
      </c>
      <c r="LL13" s="25" t="s">
        <v>93</v>
      </c>
      <c r="LM13" s="25" t="s">
        <v>92</v>
      </c>
      <c r="LN13" s="25" t="s">
        <v>91</v>
      </c>
      <c r="LO13" s="25" t="s">
        <v>90</v>
      </c>
      <c r="LP13" s="25" t="s">
        <v>89</v>
      </c>
      <c r="LQ13" s="25" t="s">
        <v>88</v>
      </c>
      <c r="LR13" s="25" t="s">
        <v>87</v>
      </c>
      <c r="LS13" s="25" t="s">
        <v>86</v>
      </c>
      <c r="LT13" s="25" t="s">
        <v>85</v>
      </c>
      <c r="LU13" s="25" t="s">
        <v>84</v>
      </c>
      <c r="LV13" s="25" t="s">
        <v>83</v>
      </c>
      <c r="LW13" s="25" t="s">
        <v>82</v>
      </c>
      <c r="LX13" s="25" t="s">
        <v>81</v>
      </c>
      <c r="LY13" s="25" t="s">
        <v>80</v>
      </c>
      <c r="LZ13" s="25" t="s">
        <v>79</v>
      </c>
      <c r="MA13" s="25" t="s">
        <v>78</v>
      </c>
      <c r="MB13" s="25" t="s">
        <v>77</v>
      </c>
      <c r="MC13" s="25" t="s">
        <v>76</v>
      </c>
      <c r="MD13" s="25" t="s">
        <v>75</v>
      </c>
      <c r="ME13" s="25" t="s">
        <v>74</v>
      </c>
      <c r="MF13" s="25" t="s">
        <v>73</v>
      </c>
      <c r="MG13" s="25" t="s">
        <v>72</v>
      </c>
      <c r="MH13" s="25" t="s">
        <v>71</v>
      </c>
      <c r="MI13" s="25" t="s">
        <v>70</v>
      </c>
      <c r="MJ13" s="25" t="s">
        <v>69</v>
      </c>
      <c r="MK13" s="25" t="s">
        <v>68</v>
      </c>
      <c r="ML13" s="25" t="s">
        <v>67</v>
      </c>
      <c r="MM13" s="25" t="s">
        <v>66</v>
      </c>
      <c r="MN13" s="25" t="s">
        <v>65</v>
      </c>
      <c r="MO13" s="25" t="s">
        <v>64</v>
      </c>
      <c r="MP13" s="25" t="s">
        <v>63</v>
      </c>
      <c r="MQ13" s="25" t="s">
        <v>62</v>
      </c>
      <c r="MR13" s="25" t="s">
        <v>61</v>
      </c>
      <c r="MS13" s="25" t="s">
        <v>60</v>
      </c>
      <c r="MT13" s="25" t="s">
        <v>59</v>
      </c>
      <c r="MU13" s="25" t="s">
        <v>58</v>
      </c>
      <c r="MV13" s="25" t="s">
        <v>57</v>
      </c>
      <c r="MW13" s="25" t="s">
        <v>56</v>
      </c>
      <c r="MX13" s="25" t="s">
        <v>55</v>
      </c>
      <c r="MY13" s="25" t="s">
        <v>54</v>
      </c>
      <c r="MZ13" s="25" t="s">
        <v>53</v>
      </c>
      <c r="NA13" s="25" t="s">
        <v>52</v>
      </c>
      <c r="NB13" s="25" t="s">
        <v>51</v>
      </c>
      <c r="NC13" s="25" t="s">
        <v>50</v>
      </c>
      <c r="ND13" s="25" t="s">
        <v>49</v>
      </c>
      <c r="NE13" s="25" t="s">
        <v>48</v>
      </c>
      <c r="NF13" s="25" t="s">
        <v>47</v>
      </c>
      <c r="NG13" s="25" t="s">
        <v>46</v>
      </c>
      <c r="NH13" s="25" t="s">
        <v>45</v>
      </c>
      <c r="NI13" s="25" t="s">
        <v>44</v>
      </c>
      <c r="NJ13" s="25" t="s">
        <v>43</v>
      </c>
      <c r="NK13" s="25" t="s">
        <v>42</v>
      </c>
      <c r="NL13" s="25" t="s">
        <v>41</v>
      </c>
      <c r="NM13" s="25" t="s">
        <v>40</v>
      </c>
      <c r="NN13" s="25" t="s">
        <v>39</v>
      </c>
      <c r="NO13" s="25" t="s">
        <v>38</v>
      </c>
      <c r="NP13" s="25" t="s">
        <v>37</v>
      </c>
      <c r="NQ13" s="25" t="s">
        <v>36</v>
      </c>
      <c r="NR13" s="25" t="s">
        <v>35</v>
      </c>
      <c r="NS13" s="25" t="s">
        <v>34</v>
      </c>
      <c r="NT13" s="25" t="s">
        <v>33</v>
      </c>
      <c r="NU13" s="25" t="s">
        <v>32</v>
      </c>
      <c r="NV13" s="25" t="s">
        <v>31</v>
      </c>
      <c r="NW13" s="25" t="s">
        <v>30</v>
      </c>
      <c r="NX13" s="25" t="s">
        <v>29</v>
      </c>
      <c r="NY13" s="25" t="s">
        <v>28</v>
      </c>
      <c r="NZ13" s="25" t="s">
        <v>27</v>
      </c>
      <c r="OA13" s="25" t="s">
        <v>26</v>
      </c>
    </row>
    <row r="14" spans="1:391" ht="22.8" x14ac:dyDescent="0.3">
      <c r="A14" s="26" t="s">
        <v>435</v>
      </c>
      <c r="B14" s="26" t="s">
        <v>436</v>
      </c>
      <c r="C14" s="26" t="s">
        <v>413</v>
      </c>
      <c r="D14" s="26" t="s">
        <v>414</v>
      </c>
      <c r="E14" s="27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>
        <f>Q2/E2-1</f>
        <v>3.3033033033033066E-2</v>
      </c>
      <c r="R14" s="32">
        <f t="shared" ref="R14:CC17" si="12">R2/F2-1</f>
        <v>3.3033033033033066E-2</v>
      </c>
      <c r="S14" s="32">
        <f t="shared" si="12"/>
        <v>3.3033033033033066E-2</v>
      </c>
      <c r="T14" s="32">
        <f t="shared" si="12"/>
        <v>3.1343283582089487E-2</v>
      </c>
      <c r="U14" s="32">
        <f t="shared" si="12"/>
        <v>3.2835820895522394E-2</v>
      </c>
      <c r="V14" s="32">
        <f t="shared" si="12"/>
        <v>3.4226190476190466E-2</v>
      </c>
      <c r="W14" s="32">
        <f t="shared" si="12"/>
        <v>3.7147102526003062E-2</v>
      </c>
      <c r="X14" s="32">
        <f t="shared" si="12"/>
        <v>3.2448377581121068E-2</v>
      </c>
      <c r="Y14" s="32">
        <f t="shared" si="12"/>
        <v>2.6392961876832821E-2</v>
      </c>
      <c r="Z14" s="32">
        <f t="shared" si="12"/>
        <v>2.7777777777777679E-2</v>
      </c>
      <c r="AA14" s="32">
        <f t="shared" si="12"/>
        <v>3.2163742690058283E-2</v>
      </c>
      <c r="AB14" s="32">
        <f t="shared" si="12"/>
        <v>3.2163742690058283E-2</v>
      </c>
      <c r="AC14" s="32">
        <f t="shared" si="12"/>
        <v>2.6162790697674465E-2</v>
      </c>
      <c r="AD14" s="32">
        <f t="shared" si="12"/>
        <v>2.9069767441860517E-2</v>
      </c>
      <c r="AE14" s="32">
        <f t="shared" si="12"/>
        <v>3.0523255813953654E-2</v>
      </c>
      <c r="AF14" s="32">
        <f t="shared" si="12"/>
        <v>2.7496382054992941E-2</v>
      </c>
      <c r="AG14" s="32">
        <f t="shared" si="12"/>
        <v>2.8901734104046284E-2</v>
      </c>
      <c r="AH14" s="32">
        <f t="shared" si="12"/>
        <v>2.5899280575539585E-2</v>
      </c>
      <c r="AI14" s="32">
        <f t="shared" si="12"/>
        <v>2.1489971346704939E-2</v>
      </c>
      <c r="AJ14" s="32">
        <f t="shared" si="12"/>
        <v>2.0000000000000018E-2</v>
      </c>
      <c r="AK14" s="32">
        <f t="shared" si="12"/>
        <v>2.1428571428571352E-2</v>
      </c>
      <c r="AL14" s="32">
        <f t="shared" si="12"/>
        <v>1.849217638691325E-2</v>
      </c>
      <c r="AM14" s="32">
        <f t="shared" si="12"/>
        <v>1.6997167138810276E-2</v>
      </c>
      <c r="AN14" s="32">
        <f t="shared" si="12"/>
        <v>1.8413597733711207E-2</v>
      </c>
      <c r="AO14" s="32">
        <f t="shared" si="12"/>
        <v>1.9830028328611915E-2</v>
      </c>
      <c r="AP14" s="32">
        <f t="shared" si="12"/>
        <v>1.9774011299435124E-2</v>
      </c>
      <c r="AQ14" s="32">
        <f t="shared" si="12"/>
        <v>2.1156558533145242E-2</v>
      </c>
      <c r="AR14" s="32">
        <f t="shared" si="12"/>
        <v>2.1126760563380254E-2</v>
      </c>
      <c r="AS14" s="32">
        <f t="shared" si="12"/>
        <v>1.9662921348314377E-2</v>
      </c>
      <c r="AT14" s="32">
        <f t="shared" si="12"/>
        <v>1.963534361851349E-2</v>
      </c>
      <c r="AU14" s="32">
        <f t="shared" si="12"/>
        <v>2.1037868162692819E-2</v>
      </c>
      <c r="AV14" s="32">
        <f t="shared" si="12"/>
        <v>2.2408963585434094E-2</v>
      </c>
      <c r="AW14" s="32">
        <f t="shared" si="12"/>
        <v>2.2377622377622197E-2</v>
      </c>
      <c r="AX14" s="32">
        <f t="shared" si="12"/>
        <v>2.2346368715083997E-2</v>
      </c>
      <c r="AY14" s="32">
        <f t="shared" si="12"/>
        <v>2.089136490250687E-2</v>
      </c>
      <c r="AZ14" s="32">
        <f t="shared" si="12"/>
        <v>2.0862308762169768E-2</v>
      </c>
      <c r="BA14" s="32">
        <f t="shared" si="12"/>
        <v>1.9444444444444597E-2</v>
      </c>
      <c r="BB14" s="32">
        <f t="shared" si="12"/>
        <v>1.6620498614958512E-2</v>
      </c>
      <c r="BC14" s="32">
        <f t="shared" si="12"/>
        <v>1.3812154696132506E-2</v>
      </c>
      <c r="BD14" s="32">
        <f t="shared" si="12"/>
        <v>1.6551724137931156E-2</v>
      </c>
      <c r="BE14" s="32">
        <f t="shared" si="12"/>
        <v>1.6528925619834656E-2</v>
      </c>
      <c r="BF14" s="32">
        <f t="shared" si="12"/>
        <v>1.6506189821182904E-2</v>
      </c>
      <c r="BG14" s="32">
        <f t="shared" si="12"/>
        <v>1.7857142857142794E-2</v>
      </c>
      <c r="BH14" s="32">
        <f t="shared" si="12"/>
        <v>1.5068493150684814E-2</v>
      </c>
      <c r="BI14" s="32">
        <f t="shared" si="12"/>
        <v>1.5047879616963078E-2</v>
      </c>
      <c r="BJ14" s="32">
        <f t="shared" si="12"/>
        <v>1.6393442622950838E-2</v>
      </c>
      <c r="BK14" s="32">
        <f t="shared" si="12"/>
        <v>1.5006821282401273E-2</v>
      </c>
      <c r="BL14" s="32">
        <f t="shared" si="12"/>
        <v>1.4986376021798309E-2</v>
      </c>
      <c r="BM14" s="32">
        <f t="shared" si="12"/>
        <v>1.7711171662125214E-2</v>
      </c>
      <c r="BN14" s="32">
        <f t="shared" si="12"/>
        <v>1.9073569482288777E-2</v>
      </c>
      <c r="BO14" s="32">
        <f t="shared" si="12"/>
        <v>2.043596730245234E-2</v>
      </c>
      <c r="BP14" s="32">
        <f t="shared" si="12"/>
        <v>1.6282225237449266E-2</v>
      </c>
      <c r="BQ14" s="32">
        <f t="shared" si="12"/>
        <v>1.6260162601626105E-2</v>
      </c>
      <c r="BR14" s="32">
        <f t="shared" si="12"/>
        <v>1.7591339648173276E-2</v>
      </c>
      <c r="BS14" s="32">
        <f t="shared" si="12"/>
        <v>1.4844804318488558E-2</v>
      </c>
      <c r="BT14" s="32">
        <f t="shared" si="12"/>
        <v>2.0242914979757165E-2</v>
      </c>
      <c r="BU14" s="32">
        <f t="shared" si="12"/>
        <v>2.0215633423180668E-2</v>
      </c>
      <c r="BV14" s="32">
        <f t="shared" si="12"/>
        <v>1.8817204301075252E-2</v>
      </c>
      <c r="BW14" s="32">
        <f t="shared" si="12"/>
        <v>2.1505376344086002E-2</v>
      </c>
      <c r="BX14" s="32">
        <f t="shared" si="12"/>
        <v>2.0134228187919545E-2</v>
      </c>
      <c r="BY14" s="32">
        <f t="shared" si="12"/>
        <v>2.008032128514059E-2</v>
      </c>
      <c r="BZ14" s="32">
        <f t="shared" si="12"/>
        <v>2.0053475935828846E-2</v>
      </c>
      <c r="CA14" s="32">
        <f t="shared" si="12"/>
        <v>2.2696929238985142E-2</v>
      </c>
      <c r="CB14" s="32">
        <f t="shared" si="12"/>
        <v>2.4032042723631575E-2</v>
      </c>
      <c r="CC14" s="32">
        <f t="shared" si="12"/>
        <v>2.4000000000000021E-2</v>
      </c>
      <c r="CD14" s="32">
        <f t="shared" ref="CD14:EO17" si="13">CD2/BR2-1</f>
        <v>2.2606382978723527E-2</v>
      </c>
      <c r="CE14" s="32">
        <f t="shared" si="13"/>
        <v>2.2606382978723527E-2</v>
      </c>
      <c r="CF14" s="32">
        <f t="shared" si="13"/>
        <v>1.4550264550264647E-2</v>
      </c>
      <c r="CG14" s="32">
        <f t="shared" si="13"/>
        <v>1.5852047556142779E-2</v>
      </c>
      <c r="CH14" s="32">
        <f t="shared" si="13"/>
        <v>1.715039577836408E-2</v>
      </c>
      <c r="CI14" s="32">
        <f t="shared" si="13"/>
        <v>1.4473684210526194E-2</v>
      </c>
      <c r="CJ14" s="32">
        <f t="shared" si="13"/>
        <v>1.7105263157894735E-2</v>
      </c>
      <c r="CK14" s="32">
        <f t="shared" si="13"/>
        <v>1.7060367454068137E-2</v>
      </c>
      <c r="CL14" s="32">
        <f t="shared" si="13"/>
        <v>1.5727391874180929E-2</v>
      </c>
      <c r="CM14" s="32">
        <f t="shared" si="13"/>
        <v>1.0443864229765065E-2</v>
      </c>
      <c r="CN14" s="32">
        <f t="shared" si="13"/>
        <v>9.1264667535855271E-3</v>
      </c>
      <c r="CO14" s="32">
        <f t="shared" si="13"/>
        <v>9.1145833333334814E-3</v>
      </c>
      <c r="CP14" s="32">
        <f t="shared" si="13"/>
        <v>9.1027308192457301E-3</v>
      </c>
      <c r="CQ14" s="32">
        <f t="shared" si="13"/>
        <v>1.040312093628093E-2</v>
      </c>
      <c r="CR14" s="32">
        <f t="shared" si="13"/>
        <v>1.4341590612777066E-2</v>
      </c>
      <c r="CS14" s="32">
        <f t="shared" si="13"/>
        <v>1.3003901170351106E-2</v>
      </c>
      <c r="CT14" s="32">
        <f t="shared" si="13"/>
        <v>1.0376134889753752E-2</v>
      </c>
      <c r="CU14" s="32">
        <f t="shared" si="13"/>
        <v>1.2970168612191912E-2</v>
      </c>
      <c r="CV14" s="32">
        <f t="shared" si="13"/>
        <v>1.0349288486416475E-2</v>
      </c>
      <c r="CW14" s="32">
        <f t="shared" si="13"/>
        <v>6.4516129032257119E-3</v>
      </c>
      <c r="CX14" s="32">
        <f t="shared" si="13"/>
        <v>7.7419354838708099E-3</v>
      </c>
      <c r="CY14" s="32">
        <f t="shared" si="13"/>
        <v>9.0439276485787534E-3</v>
      </c>
      <c r="CZ14" s="32">
        <f t="shared" si="13"/>
        <v>1.0335917312661369E-2</v>
      </c>
      <c r="DA14" s="32">
        <f t="shared" si="13"/>
        <v>9.0322580645161299E-3</v>
      </c>
      <c r="DB14" s="32">
        <f t="shared" si="13"/>
        <v>9.0206185567009989E-3</v>
      </c>
      <c r="DC14" s="32">
        <f t="shared" si="13"/>
        <v>7.7220077220077066E-3</v>
      </c>
      <c r="DD14" s="32">
        <f t="shared" si="13"/>
        <v>6.4267352185090054E-3</v>
      </c>
      <c r="DE14" s="32">
        <f t="shared" si="13"/>
        <v>3.8510911424902705E-3</v>
      </c>
      <c r="DF14" s="32">
        <f t="shared" si="13"/>
        <v>3.8510911424902705E-3</v>
      </c>
      <c r="DG14" s="32">
        <f t="shared" si="13"/>
        <v>1.2804097311140961E-3</v>
      </c>
      <c r="DH14" s="32">
        <f t="shared" si="13"/>
        <v>2.5608194622279701E-3</v>
      </c>
      <c r="DI14" s="32">
        <f t="shared" si="13"/>
        <v>2.564102564102555E-3</v>
      </c>
      <c r="DJ14" s="32">
        <f t="shared" si="13"/>
        <v>3.8412291933420661E-3</v>
      </c>
      <c r="DK14" s="32">
        <f t="shared" si="13"/>
        <v>3.8412291933420661E-3</v>
      </c>
      <c r="DL14" s="32">
        <f t="shared" si="13"/>
        <v>3.8363171355497716E-3</v>
      </c>
      <c r="DM14" s="32">
        <f t="shared" si="13"/>
        <v>3.8363171355497716E-3</v>
      </c>
      <c r="DN14" s="32">
        <f t="shared" si="13"/>
        <v>2.5542784163474774E-3</v>
      </c>
      <c r="DO14" s="32">
        <f t="shared" si="13"/>
        <v>3.8314176245211051E-3</v>
      </c>
      <c r="DP14" s="32">
        <f t="shared" si="13"/>
        <v>5.1085568326947328E-3</v>
      </c>
      <c r="DQ14" s="32">
        <f t="shared" si="13"/>
        <v>7.6726342710997653E-3</v>
      </c>
      <c r="DR14" s="32">
        <f t="shared" si="13"/>
        <v>7.6726342710997653E-3</v>
      </c>
      <c r="DS14" s="32">
        <f t="shared" si="13"/>
        <v>1.0230179028132946E-2</v>
      </c>
      <c r="DT14" s="32">
        <f t="shared" si="13"/>
        <v>1.1494252873563315E-2</v>
      </c>
      <c r="DU14" s="32">
        <f t="shared" si="13"/>
        <v>1.6624040920716121E-2</v>
      </c>
      <c r="DV14" s="32">
        <f t="shared" si="13"/>
        <v>1.4030612244897878E-2</v>
      </c>
      <c r="DW14" s="32">
        <f t="shared" si="13"/>
        <v>1.5306122448979442E-2</v>
      </c>
      <c r="DX14" s="32">
        <f t="shared" si="13"/>
        <v>1.1464968152866239E-2</v>
      </c>
      <c r="DY14" s="32">
        <f t="shared" si="13"/>
        <v>1.2738853503184711E-2</v>
      </c>
      <c r="DZ14" s="32">
        <f t="shared" si="13"/>
        <v>1.6560509554140124E-2</v>
      </c>
      <c r="EA14" s="32">
        <f t="shared" si="13"/>
        <v>1.6539440203562572E-2</v>
      </c>
      <c r="EB14" s="32">
        <f t="shared" si="13"/>
        <v>1.6518424396442244E-2</v>
      </c>
      <c r="EC14" s="32">
        <f t="shared" si="13"/>
        <v>2.0304568527918843E-2</v>
      </c>
      <c r="ED14" s="32">
        <f t="shared" si="13"/>
        <v>1.9035532994923887E-2</v>
      </c>
      <c r="EE14" s="32">
        <f t="shared" si="13"/>
        <v>2.1518987341772267E-2</v>
      </c>
      <c r="EF14" s="32">
        <f t="shared" si="13"/>
        <v>1.8939393939394034E-2</v>
      </c>
      <c r="EG14" s="32">
        <f t="shared" si="13"/>
        <v>1.132075471698113E-2</v>
      </c>
      <c r="EH14" s="32">
        <f t="shared" si="13"/>
        <v>1.2578616352201255E-2</v>
      </c>
      <c r="EI14" s="32">
        <f t="shared" si="13"/>
        <v>1.2562814070351758E-2</v>
      </c>
      <c r="EJ14" s="32">
        <f t="shared" si="13"/>
        <v>1.8891687657430767E-2</v>
      </c>
      <c r="EK14" s="32">
        <f t="shared" si="13"/>
        <v>2.2641509433962259E-2</v>
      </c>
      <c r="EL14" s="32">
        <f t="shared" si="13"/>
        <v>2.0050125313283207E-2</v>
      </c>
      <c r="EM14" s="32">
        <f t="shared" si="13"/>
        <v>2.0025031289111261E-2</v>
      </c>
      <c r="EN14" s="32">
        <f t="shared" si="13"/>
        <v>1.8750000000000044E-2</v>
      </c>
      <c r="EO14" s="32">
        <f t="shared" si="13"/>
        <v>1.4925373134328179E-2</v>
      </c>
      <c r="EP14" s="32">
        <f t="shared" ref="EP14:HA17" si="14">EP2/ED2-1</f>
        <v>1.7434620174346271E-2</v>
      </c>
      <c r="EQ14" s="32">
        <f t="shared" si="14"/>
        <v>1.1152416356877248E-2</v>
      </c>
      <c r="ER14" s="32">
        <f t="shared" si="14"/>
        <v>1.3630731102850069E-2</v>
      </c>
      <c r="ES14" s="32">
        <f t="shared" si="14"/>
        <v>2.2388059701492491E-2</v>
      </c>
      <c r="ET14" s="32">
        <f t="shared" si="14"/>
        <v>2.1118012422360222E-2</v>
      </c>
      <c r="EU14" s="32">
        <f t="shared" si="14"/>
        <v>2.1091811414392092E-2</v>
      </c>
      <c r="EV14" s="32">
        <f t="shared" si="14"/>
        <v>1.9777503090234738E-2</v>
      </c>
      <c r="EW14" s="32">
        <f t="shared" si="14"/>
        <v>1.4760147601476037E-2</v>
      </c>
      <c r="EX14" s="32">
        <f t="shared" si="14"/>
        <v>1.4742014742014531E-2</v>
      </c>
      <c r="EY14" s="32">
        <f t="shared" si="14"/>
        <v>1.5950920245398681E-2</v>
      </c>
      <c r="EZ14" s="32">
        <f t="shared" si="14"/>
        <v>1.8404907975460016E-2</v>
      </c>
      <c r="FA14" s="32">
        <f t="shared" si="14"/>
        <v>1.8382352941176405E-2</v>
      </c>
      <c r="FB14" s="32">
        <f t="shared" si="14"/>
        <v>1.8359853121175052E-2</v>
      </c>
      <c r="FC14" s="32">
        <f t="shared" si="14"/>
        <v>2.2058823529411908E-2</v>
      </c>
      <c r="FD14" s="32">
        <f t="shared" si="14"/>
        <v>2.2004889975550057E-2</v>
      </c>
      <c r="FE14" s="32">
        <f t="shared" si="14"/>
        <v>2.0681265206812682E-2</v>
      </c>
      <c r="FF14" s="32">
        <f t="shared" si="14"/>
        <v>2.5547445255474477E-2</v>
      </c>
      <c r="FG14" s="32">
        <f t="shared" si="14"/>
        <v>2.5516403402187304E-2</v>
      </c>
      <c r="FH14" s="32">
        <f t="shared" si="14"/>
        <v>2.0606060606060739E-2</v>
      </c>
      <c r="FI14" s="32">
        <f t="shared" si="14"/>
        <v>1.8181818181818077E-2</v>
      </c>
      <c r="FJ14" s="32">
        <f t="shared" si="14"/>
        <v>1.9370460048426352E-2</v>
      </c>
      <c r="FK14" s="32">
        <f t="shared" si="14"/>
        <v>1.9323671497584627E-2</v>
      </c>
      <c r="FL14" s="32">
        <f t="shared" si="14"/>
        <v>1.8072289156626509E-2</v>
      </c>
      <c r="FM14" s="32">
        <f t="shared" si="14"/>
        <v>2.0457280385078214E-2</v>
      </c>
      <c r="FN14" s="32">
        <f t="shared" si="14"/>
        <v>2.1634615384615419E-2</v>
      </c>
      <c r="FO14" s="32">
        <f t="shared" si="14"/>
        <v>2.278177458033559E-2</v>
      </c>
      <c r="FP14" s="32">
        <f t="shared" si="14"/>
        <v>2.1531100478469067E-2</v>
      </c>
      <c r="FQ14" s="32">
        <f t="shared" si="14"/>
        <v>1.9070321811680557E-2</v>
      </c>
      <c r="FR14" s="32">
        <f t="shared" si="14"/>
        <v>1.7793594306049876E-2</v>
      </c>
      <c r="FS14" s="32">
        <f t="shared" si="14"/>
        <v>1.7772511848341166E-2</v>
      </c>
      <c r="FT14" s="32">
        <f t="shared" si="14"/>
        <v>2.0190023752969077E-2</v>
      </c>
      <c r="FU14" s="32">
        <f t="shared" si="14"/>
        <v>2.6190476190476319E-2</v>
      </c>
      <c r="FV14" s="32">
        <f t="shared" si="14"/>
        <v>2.4940617577197122E-2</v>
      </c>
      <c r="FW14" s="32">
        <f t="shared" si="14"/>
        <v>2.3696682464454888E-2</v>
      </c>
      <c r="FX14" s="32">
        <f t="shared" si="14"/>
        <v>2.3668639053254337E-2</v>
      </c>
      <c r="FY14" s="32">
        <f t="shared" si="14"/>
        <v>2.1226415094339535E-2</v>
      </c>
      <c r="FZ14" s="32">
        <f t="shared" si="14"/>
        <v>2.1176470588235352E-2</v>
      </c>
      <c r="GA14" s="32">
        <f t="shared" si="14"/>
        <v>1.9929660023446649E-2</v>
      </c>
      <c r="GB14" s="32">
        <f t="shared" si="14"/>
        <v>1.9906323185011621E-2</v>
      </c>
      <c r="GC14" s="32">
        <f t="shared" si="14"/>
        <v>1.5204678362572999E-2</v>
      </c>
      <c r="GD14" s="32">
        <f t="shared" si="14"/>
        <v>1.631701631701632E-2</v>
      </c>
      <c r="GE14" s="32">
        <f t="shared" si="14"/>
        <v>1.9790454016297865E-2</v>
      </c>
      <c r="GF14" s="32">
        <f t="shared" si="14"/>
        <v>1.9790454016297865E-2</v>
      </c>
      <c r="GG14" s="32">
        <f t="shared" si="14"/>
        <v>1.5081206496519783E-2</v>
      </c>
      <c r="GH14" s="32">
        <f t="shared" si="14"/>
        <v>1.6222479721900385E-2</v>
      </c>
      <c r="GI14" s="32">
        <f t="shared" si="14"/>
        <v>1.6203703703703498E-2</v>
      </c>
      <c r="GJ14" s="32">
        <f t="shared" si="14"/>
        <v>1.8497109826589586E-2</v>
      </c>
      <c r="GK14" s="32">
        <f t="shared" si="14"/>
        <v>2.1939953810623525E-2</v>
      </c>
      <c r="GL14" s="32">
        <f t="shared" si="14"/>
        <v>1.9585253456221308E-2</v>
      </c>
      <c r="GM14" s="32">
        <f t="shared" si="14"/>
        <v>1.6091954022988464E-2</v>
      </c>
      <c r="GN14" s="32">
        <f t="shared" si="14"/>
        <v>1.6073478760046056E-2</v>
      </c>
      <c r="GO14" s="32">
        <f t="shared" si="14"/>
        <v>2.1658986175115302E-2</v>
      </c>
      <c r="GP14" s="32">
        <f t="shared" si="14"/>
        <v>1.8922018348623837E-2</v>
      </c>
      <c r="GQ14" s="32">
        <f t="shared" si="14"/>
        <v>1.4497716894977364E-2</v>
      </c>
      <c r="GR14" s="32">
        <f t="shared" si="14"/>
        <v>1.6666666666666829E-2</v>
      </c>
      <c r="GS14" s="32">
        <f t="shared" si="14"/>
        <v>2.079999999999993E-2</v>
      </c>
      <c r="GT14" s="32">
        <f t="shared" si="14"/>
        <v>1.8928164196123198E-2</v>
      </c>
      <c r="GU14" s="32">
        <f t="shared" si="14"/>
        <v>1.9817767653758755E-2</v>
      </c>
      <c r="GV14" s="32">
        <f t="shared" si="14"/>
        <v>1.8161180476730987E-2</v>
      </c>
      <c r="GW14" s="32">
        <f t="shared" si="14"/>
        <v>1.2316384180790951E-2</v>
      </c>
      <c r="GX14" s="32">
        <f t="shared" si="14"/>
        <v>1.0960451977401142E-2</v>
      </c>
      <c r="GY14" s="32">
        <f t="shared" si="14"/>
        <v>1.3687782805429816E-2</v>
      </c>
      <c r="GZ14" s="32">
        <f t="shared" si="14"/>
        <v>1.4463276836158112E-2</v>
      </c>
      <c r="HA14" s="32">
        <f t="shared" si="14"/>
        <v>1.274244474515096E-2</v>
      </c>
      <c r="HB14" s="32">
        <f t="shared" ref="HB14:JM17" si="15">HB2/GP2-1</f>
        <v>1.0579628587507273E-2</v>
      </c>
      <c r="HC14" s="32">
        <f t="shared" si="15"/>
        <v>1.1927534601102741E-2</v>
      </c>
      <c r="HD14" s="32">
        <f t="shared" si="15"/>
        <v>1.257579160116773E-2</v>
      </c>
      <c r="HE14" s="32">
        <f t="shared" si="15"/>
        <v>1.0523958799820932E-2</v>
      </c>
      <c r="HF14" s="32">
        <f t="shared" si="15"/>
        <v>1.1526410026857725E-2</v>
      </c>
      <c r="HG14" s="32">
        <f t="shared" si="15"/>
        <v>1.1056511056511065E-2</v>
      </c>
      <c r="HH14" s="32">
        <f t="shared" si="15"/>
        <v>1.1594202898550732E-2</v>
      </c>
      <c r="HI14" s="32">
        <f t="shared" si="15"/>
        <v>1.540350485545261E-2</v>
      </c>
      <c r="HJ14" s="32">
        <f t="shared" si="15"/>
        <v>2.0453783391080727E-2</v>
      </c>
      <c r="HK14" s="32">
        <f t="shared" si="15"/>
        <v>2.4774020756612058E-2</v>
      </c>
      <c r="HL14" s="32">
        <f t="shared" si="15"/>
        <v>2.5729561149476554E-2</v>
      </c>
      <c r="HM14" s="32">
        <f t="shared" si="15"/>
        <v>2.8504620866273367E-2</v>
      </c>
      <c r="HN14" s="32">
        <f t="shared" si="15"/>
        <v>2.839959906448386E-2</v>
      </c>
      <c r="HO14" s="32">
        <f t="shared" si="15"/>
        <v>3.1468920271322087E-2</v>
      </c>
      <c r="HP14" s="32">
        <f t="shared" si="15"/>
        <v>3.0051009092925129E-2</v>
      </c>
      <c r="HQ14" s="32">
        <f t="shared" si="15"/>
        <v>3.3126523376911132E-2</v>
      </c>
      <c r="HR14" s="32">
        <f t="shared" si="15"/>
        <v>3.5512777962163788E-2</v>
      </c>
      <c r="HS14" s="32">
        <f t="shared" si="15"/>
        <v>3.6231083618689874E-2</v>
      </c>
      <c r="HT14" s="32">
        <f t="shared" si="15"/>
        <v>3.1518624641833748E-2</v>
      </c>
      <c r="HU14" s="32">
        <f t="shared" si="15"/>
        <v>3.0119819720787033E-2</v>
      </c>
      <c r="HV14" s="32">
        <f t="shared" si="15"/>
        <v>2.6944140197152411E-2</v>
      </c>
      <c r="HW14" s="32">
        <f t="shared" si="15"/>
        <v>1.6443428073614319E-2</v>
      </c>
      <c r="HX14" s="32">
        <f t="shared" si="15"/>
        <v>9.9902269518949982E-3</v>
      </c>
      <c r="HY14" s="32">
        <f t="shared" si="15"/>
        <v>7.1451770055213082E-3</v>
      </c>
      <c r="HZ14" s="32">
        <f t="shared" si="15"/>
        <v>8.447043534762777E-3</v>
      </c>
      <c r="IA14" s="32">
        <f t="shared" si="15"/>
        <v>2.3717119448036783E-3</v>
      </c>
      <c r="IB14" s="32">
        <f t="shared" si="15"/>
        <v>1.0765421466250036E-3</v>
      </c>
      <c r="IC14" s="32">
        <f t="shared" si="15"/>
        <v>-2.5737265415548549E-3</v>
      </c>
      <c r="ID14" s="32">
        <f t="shared" si="15"/>
        <v>-4.9145299145298971E-3</v>
      </c>
      <c r="IE14" s="32">
        <f t="shared" si="15"/>
        <v>-7.0354972817396888E-3</v>
      </c>
      <c r="IF14" s="32">
        <f t="shared" si="15"/>
        <v>-1.8162393162391988E-3</v>
      </c>
      <c r="IG14" s="32">
        <f t="shared" si="15"/>
        <v>-3.2013659161241881E-3</v>
      </c>
      <c r="IH14" s="32">
        <f t="shared" si="15"/>
        <v>-1.9197952218430459E-3</v>
      </c>
      <c r="II14" s="32">
        <f t="shared" si="15"/>
        <v>4.1782729805013297E-3</v>
      </c>
      <c r="IJ14" s="32">
        <f t="shared" si="15"/>
        <v>8.8162563165250507E-3</v>
      </c>
      <c r="IK14" s="32">
        <f t="shared" si="15"/>
        <v>1.1071697301945571E-2</v>
      </c>
      <c r="IL14" s="32">
        <f t="shared" si="15"/>
        <v>1.2671821305841879E-2</v>
      </c>
      <c r="IM14" s="32">
        <f t="shared" si="15"/>
        <v>1.5057001505700107E-2</v>
      </c>
      <c r="IN14" s="32">
        <f t="shared" si="15"/>
        <v>1.6668458974083311E-2</v>
      </c>
      <c r="IO14" s="32">
        <f t="shared" si="15"/>
        <v>1.6772390065584286E-2</v>
      </c>
      <c r="IP14" s="32">
        <f t="shared" si="15"/>
        <v>1.5353231694223757E-2</v>
      </c>
      <c r="IQ14" s="32">
        <f t="shared" si="15"/>
        <v>1.7069243156199621E-2</v>
      </c>
      <c r="IR14" s="32">
        <f t="shared" si="15"/>
        <v>1.3807128331370988E-2</v>
      </c>
      <c r="IS14" s="32">
        <f t="shared" si="15"/>
        <v>1.5951182956857046E-2</v>
      </c>
      <c r="IT14" s="32">
        <f t="shared" si="15"/>
        <v>1.5815345159222005E-2</v>
      </c>
      <c r="IU14" s="32">
        <f t="shared" si="15"/>
        <v>1.5896724634588688E-2</v>
      </c>
      <c r="IV14" s="32">
        <f t="shared" si="15"/>
        <v>1.7478418416284836E-2</v>
      </c>
      <c r="IW14" s="32">
        <f t="shared" si="15"/>
        <v>1.7541994471613753E-2</v>
      </c>
      <c r="IX14" s="32">
        <f t="shared" si="15"/>
        <v>1.654294803817602E-2</v>
      </c>
      <c r="IY14" s="32">
        <f t="shared" si="15"/>
        <v>1.938970120788297E-2</v>
      </c>
      <c r="IZ14" s="32">
        <f t="shared" si="15"/>
        <v>2.0731965305690547E-2</v>
      </c>
      <c r="JA14" s="32">
        <f t="shared" si="15"/>
        <v>2.0513905043882952E-2</v>
      </c>
      <c r="JB14" s="32">
        <f t="shared" si="15"/>
        <v>2.157132282965013E-2</v>
      </c>
      <c r="JC14" s="32">
        <f t="shared" si="15"/>
        <v>1.9632678910702861E-2</v>
      </c>
      <c r="JD14" s="32">
        <f t="shared" si="15"/>
        <v>2.2170608108108114E-2</v>
      </c>
      <c r="JE14" s="32">
        <f t="shared" si="15"/>
        <v>2.2550052687039024E-2</v>
      </c>
      <c r="JF14" s="32">
        <f t="shared" si="15"/>
        <v>2.335367136545341E-2</v>
      </c>
      <c r="JG14" s="32">
        <f t="shared" si="15"/>
        <v>2.5204788909892972E-2</v>
      </c>
      <c r="JH14" s="32">
        <f t="shared" si="15"/>
        <v>2.4510317377186563E-2</v>
      </c>
      <c r="JI14" s="32">
        <f t="shared" si="15"/>
        <v>2.3717479887159332E-2</v>
      </c>
      <c r="JJ14" s="32">
        <f t="shared" si="15"/>
        <v>2.2950135614437706E-2</v>
      </c>
      <c r="JK14" s="32">
        <f t="shared" si="15"/>
        <v>2.2658767279908565E-2</v>
      </c>
      <c r="JL14" s="32">
        <f t="shared" si="15"/>
        <v>2.0829015544041596E-2</v>
      </c>
      <c r="JM14" s="32">
        <f t="shared" si="15"/>
        <v>1.9894311470314063E-2</v>
      </c>
      <c r="JN14" s="32">
        <f t="shared" ref="JN14:LY17" si="16">JN2/JB2-1</f>
        <v>1.956319221612679E-2</v>
      </c>
      <c r="JO14" s="32">
        <f t="shared" si="16"/>
        <v>1.9358178053830333E-2</v>
      </c>
      <c r="JP14" s="32">
        <f t="shared" si="16"/>
        <v>2.0450320181780723E-2</v>
      </c>
      <c r="JQ14" s="32">
        <f t="shared" si="16"/>
        <v>1.9064303380049497E-2</v>
      </c>
      <c r="JR14" s="32">
        <f t="shared" si="16"/>
        <v>1.8297697368421018E-2</v>
      </c>
      <c r="JS14" s="32">
        <f t="shared" si="16"/>
        <v>1.4136447449293099E-2</v>
      </c>
      <c r="JT14" s="32">
        <f t="shared" si="16"/>
        <v>1.3188835497392803E-2</v>
      </c>
      <c r="JU14" s="32">
        <f t="shared" si="16"/>
        <v>1.2145335782812738E-2</v>
      </c>
      <c r="JV14" s="32">
        <f t="shared" si="16"/>
        <v>1.0707729961248136E-2</v>
      </c>
      <c r="JW14" s="32">
        <f t="shared" si="16"/>
        <v>9.7570891350746702E-3</v>
      </c>
      <c r="JX14" s="32">
        <f t="shared" si="16"/>
        <v>7.1058775758805481E-3</v>
      </c>
      <c r="JY14" s="32">
        <f t="shared" si="16"/>
        <v>8.1276033729553721E-3</v>
      </c>
      <c r="JZ14" s="32">
        <f t="shared" si="16"/>
        <v>9.3401015228427031E-3</v>
      </c>
      <c r="KA14" s="32">
        <f t="shared" si="16"/>
        <v>1.0561592363156347E-2</v>
      </c>
      <c r="KB14" s="32">
        <f t="shared" si="16"/>
        <v>8.4008097165990669E-3</v>
      </c>
      <c r="KC14" s="32">
        <f t="shared" si="16"/>
        <v>8.7976539589442737E-3</v>
      </c>
      <c r="KD14" s="32">
        <f t="shared" si="16"/>
        <v>5.6531395114072236E-3</v>
      </c>
      <c r="KE14" s="32">
        <f t="shared" si="16"/>
        <v>7.1717171717171624E-3</v>
      </c>
      <c r="KF14" s="32">
        <f t="shared" si="16"/>
        <v>7.5681130171543209E-3</v>
      </c>
      <c r="KG14" s="32">
        <f t="shared" si="16"/>
        <v>6.5544015327214655E-3</v>
      </c>
      <c r="KH14" s="32">
        <f t="shared" si="16"/>
        <v>9.1817172838259964E-3</v>
      </c>
      <c r="KI14" s="32">
        <f t="shared" si="16"/>
        <v>5.8379466532463287E-3</v>
      </c>
      <c r="KJ14" s="32">
        <f t="shared" si="16"/>
        <v>7.0557403487552239E-3</v>
      </c>
      <c r="KK14" s="32">
        <f t="shared" si="16"/>
        <v>6.8527663005137907E-3</v>
      </c>
      <c r="KL14" s="32">
        <f t="shared" si="16"/>
        <v>4.727419030376101E-3</v>
      </c>
      <c r="KM14" s="32">
        <f t="shared" si="16"/>
        <v>4.4216661642044741E-3</v>
      </c>
      <c r="KN14" s="32">
        <f t="shared" si="16"/>
        <v>3.8141122151962303E-3</v>
      </c>
      <c r="KO14" s="32">
        <f t="shared" si="16"/>
        <v>2.3055332798715966E-3</v>
      </c>
      <c r="KP14" s="32">
        <f t="shared" si="16"/>
        <v>3.6137321822926616E-3</v>
      </c>
      <c r="KQ14" s="32">
        <f t="shared" si="16"/>
        <v>2.4069802427040266E-3</v>
      </c>
      <c r="KR14" s="32">
        <f t="shared" si="16"/>
        <v>0</v>
      </c>
      <c r="KS14" s="32">
        <f t="shared" si="16"/>
        <v>-4.3077539571227952E-3</v>
      </c>
      <c r="KT14" s="32">
        <f t="shared" si="16"/>
        <v>-1.3997200559887624E-3</v>
      </c>
      <c r="KU14" s="32">
        <f t="shared" si="16"/>
        <v>3.0021014710279736E-4</v>
      </c>
      <c r="KV14" s="32">
        <f t="shared" si="16"/>
        <v>1.6014412971674385E-3</v>
      </c>
      <c r="KW14" s="32">
        <f t="shared" si="16"/>
        <v>2.7024321889701497E-3</v>
      </c>
      <c r="KX14" s="32">
        <f t="shared" si="16"/>
        <v>2.6028631494645627E-3</v>
      </c>
      <c r="KY14" s="32">
        <f t="shared" si="16"/>
        <v>1.6008004002001641E-3</v>
      </c>
      <c r="KZ14" s="32">
        <f t="shared" si="16"/>
        <v>4.9995000499936104E-4</v>
      </c>
      <c r="LA14" s="32">
        <f t="shared" si="16"/>
        <v>1.0001000100023916E-4</v>
      </c>
      <c r="LB14" s="32">
        <f t="shared" si="16"/>
        <v>8.0016003200644725E-4</v>
      </c>
      <c r="LC14" s="32">
        <f t="shared" si="16"/>
        <v>6.0030015007495052E-4</v>
      </c>
      <c r="LD14" s="32">
        <f t="shared" si="16"/>
        <v>2.3034551827743055E-3</v>
      </c>
      <c r="LE14" s="32">
        <f t="shared" si="16"/>
        <v>2.1128886205854513E-3</v>
      </c>
      <c r="LF14" s="32">
        <f t="shared" si="16"/>
        <v>-1.4016820184220569E-3</v>
      </c>
      <c r="LG14" s="32">
        <f t="shared" si="16"/>
        <v>-1.2004801920767472E-3</v>
      </c>
      <c r="LH14" s="32">
        <f t="shared" si="16"/>
        <v>-1.7987408813829875E-3</v>
      </c>
      <c r="LI14" s="32">
        <f t="shared" si="16"/>
        <v>-1.9964064683575256E-4</v>
      </c>
      <c r="LJ14" s="32">
        <f t="shared" si="16"/>
        <v>1.7973040439340782E-3</v>
      </c>
      <c r="LK14" s="32">
        <f t="shared" si="16"/>
        <v>1.9978024173410436E-3</v>
      </c>
      <c r="LL14" s="32">
        <f t="shared" si="16"/>
        <v>2.1986807915250761E-3</v>
      </c>
      <c r="LM14" s="32">
        <f t="shared" si="16"/>
        <v>3.9000000000000146E-3</v>
      </c>
      <c r="LN14" s="32">
        <f t="shared" si="16"/>
        <v>3.6977813312013552E-3</v>
      </c>
      <c r="LO14" s="32">
        <f t="shared" si="16"/>
        <v>5.2994700529946925E-3</v>
      </c>
      <c r="LP14" s="32">
        <f t="shared" si="16"/>
        <v>6.2949640287768283E-3</v>
      </c>
      <c r="LQ14" s="32">
        <f t="shared" si="16"/>
        <v>1.2951807228915646E-2</v>
      </c>
      <c r="LR14" s="32">
        <f t="shared" si="16"/>
        <v>1.2231802686986093E-2</v>
      </c>
      <c r="LS14" s="32">
        <f t="shared" si="16"/>
        <v>1.171875E-2</v>
      </c>
      <c r="LT14" s="32">
        <f t="shared" si="16"/>
        <v>1.1812994293723067E-2</v>
      </c>
      <c r="LU14" s="32">
        <f t="shared" si="16"/>
        <v>8.1869009584665253E-3</v>
      </c>
      <c r="LV14" s="32">
        <f t="shared" si="16"/>
        <v>6.976975979268385E-3</v>
      </c>
      <c r="LW14" s="32">
        <f t="shared" si="16"/>
        <v>6.9783670621075267E-3</v>
      </c>
      <c r="LX14" s="32">
        <f t="shared" si="16"/>
        <v>8.9748703629837223E-3</v>
      </c>
      <c r="LY14" s="32">
        <f t="shared" si="16"/>
        <v>9.7619284789323135E-3</v>
      </c>
      <c r="LZ14" s="32">
        <f t="shared" ref="LZ14:OA17" si="17">LZ2/LN2-1</f>
        <v>1.0654186995917581E-2</v>
      </c>
      <c r="MA14" s="32">
        <f t="shared" si="17"/>
        <v>1.1637159339566328E-2</v>
      </c>
      <c r="MB14" s="32">
        <f t="shared" si="17"/>
        <v>1.1816105649886E-2</v>
      </c>
      <c r="MC14" s="32">
        <f t="shared" si="17"/>
        <v>1.2984438497373407E-2</v>
      </c>
      <c r="MD14" s="32">
        <f t="shared" si="17"/>
        <v>1.1687797147385215E-2</v>
      </c>
      <c r="ME14" s="32">
        <f t="shared" si="17"/>
        <v>1.5642015642015616E-2</v>
      </c>
      <c r="MF14" s="32">
        <f t="shared" si="17"/>
        <v>1.642426041357492E-2</v>
      </c>
      <c r="MG14" s="32">
        <f t="shared" si="17"/>
        <v>2.0598138245196962E-2</v>
      </c>
      <c r="MH14" s="32">
        <f t="shared" si="17"/>
        <v>2.0488963674156091E-2</v>
      </c>
      <c r="MI14" s="32">
        <f t="shared" si="17"/>
        <v>2.2770022770022713E-2</v>
      </c>
      <c r="MJ14" s="32">
        <f t="shared" si="17"/>
        <v>2.2435263886143364E-2</v>
      </c>
      <c r="MK14" s="32">
        <f t="shared" si="17"/>
        <v>2.2195915951464862E-2</v>
      </c>
      <c r="ML14" s="32">
        <f t="shared" si="17"/>
        <v>2.2266009852216717E-2</v>
      </c>
      <c r="MM14" s="32">
        <f t="shared" si="17"/>
        <v>1.8582243633860962E-2</v>
      </c>
      <c r="MN14" s="32">
        <f t="shared" si="17"/>
        <v>1.5799803729146245E-2</v>
      </c>
      <c r="MO14" s="32">
        <f t="shared" si="17"/>
        <v>1.1839530332681036E-2</v>
      </c>
      <c r="MP14" s="32">
        <f t="shared" si="17"/>
        <v>1.2825533581358961E-2</v>
      </c>
      <c r="MQ14" s="32">
        <f t="shared" si="17"/>
        <v>1.1209669558436497E-2</v>
      </c>
      <c r="MR14" s="32">
        <f t="shared" si="17"/>
        <v>1.2946558940913011E-2</v>
      </c>
      <c r="MS14" s="32">
        <f t="shared" si="17"/>
        <v>9.80011643702694E-3</v>
      </c>
      <c r="MT14" s="32">
        <f t="shared" si="17"/>
        <v>1.2027158098933066E-2</v>
      </c>
      <c r="MU14" s="32">
        <f t="shared" si="17"/>
        <v>1.0550769528603343E-2</v>
      </c>
      <c r="MV14" s="32">
        <f t="shared" si="17"/>
        <v>1.0439826002899943E-2</v>
      </c>
      <c r="MW14" s="32">
        <f t="shared" si="17"/>
        <v>9.5541401273884219E-3</v>
      </c>
      <c r="MX14" s="32">
        <f t="shared" si="17"/>
        <v>7.9992289899768476E-3</v>
      </c>
      <c r="MY14" s="32">
        <f t="shared" si="17"/>
        <v>1.0424710424710604E-2</v>
      </c>
      <c r="MZ14" s="32">
        <f t="shared" si="17"/>
        <v>1.4877789585547196E-2</v>
      </c>
      <c r="NA14" s="32">
        <f t="shared" si="17"/>
        <v>1.4215259646068956E-2</v>
      </c>
      <c r="NB14" s="32">
        <f t="shared" si="17"/>
        <v>1.3533107781536824E-2</v>
      </c>
      <c r="NC14" s="32">
        <f t="shared" si="17"/>
        <v>6.4584538268748215E-3</v>
      </c>
      <c r="ND14" s="32">
        <f t="shared" si="17"/>
        <v>3.1712473572937938E-3</v>
      </c>
      <c r="NE14" s="32">
        <f t="shared" si="17"/>
        <v>3.939656000768732E-3</v>
      </c>
      <c r="NF14" s="32">
        <f t="shared" si="17"/>
        <v>2.3001725129383477E-3</v>
      </c>
      <c r="NG14" s="32">
        <f t="shared" si="17"/>
        <v>7.5670498084290383E-3</v>
      </c>
      <c r="NH14" s="32">
        <f t="shared" si="17"/>
        <v>1.9133263178034987E-3</v>
      </c>
      <c r="NI14" s="32">
        <f t="shared" si="17"/>
        <v>2.8677946659017017E-4</v>
      </c>
      <c r="NJ14" s="32">
        <f t="shared" si="17"/>
        <v>9.5611435127596067E-5</v>
      </c>
      <c r="NK14" s="32">
        <f t="shared" si="17"/>
        <v>9.5529231944979642E-4</v>
      </c>
      <c r="NL14" s="32">
        <f t="shared" si="17"/>
        <v>-1.3326987148977176E-3</v>
      </c>
      <c r="NM14" s="32">
        <f t="shared" si="17"/>
        <v>5.4347826086957873E-3</v>
      </c>
      <c r="NN14" s="32">
        <f t="shared" si="17"/>
        <v>5.6270863137817262E-3</v>
      </c>
      <c r="NO14" s="32">
        <f t="shared" si="17"/>
        <v>1.1205823197011799E-2</v>
      </c>
      <c r="NP14" s="32">
        <f t="shared" si="17"/>
        <v>1.3028067822588474E-2</v>
      </c>
      <c r="NQ14" s="32">
        <f t="shared" si="17"/>
        <v>1.4356814701378173E-2</v>
      </c>
      <c r="NR14" s="32">
        <f t="shared" si="17"/>
        <v>1.5299292407726206E-2</v>
      </c>
      <c r="NS14" s="32">
        <f t="shared" si="17"/>
        <v>1.2643787432265352E-2</v>
      </c>
      <c r="NT14" s="32">
        <f t="shared" si="17"/>
        <v>2.0338012030936659E-2</v>
      </c>
      <c r="NU14" s="32">
        <f t="shared" si="17"/>
        <v>2.1120030581039728E-2</v>
      </c>
      <c r="NV14" s="32">
        <f t="shared" si="17"/>
        <v>2.6099426386233304E-2</v>
      </c>
      <c r="NW14" s="32">
        <f t="shared" si="17"/>
        <v>2.6913533117006949E-2</v>
      </c>
      <c r="NX14" s="32">
        <f t="shared" si="17"/>
        <v>2.7547421599466215E-2</v>
      </c>
      <c r="NY14" s="32">
        <f t="shared" si="17"/>
        <v>2.8828828828828756E-2</v>
      </c>
      <c r="NZ14" s="32">
        <f t="shared" si="17"/>
        <v>3.6513657056145732E-2</v>
      </c>
      <c r="OA14" s="32">
        <f t="shared" si="17"/>
        <v>4.517901117635903E-2</v>
      </c>
    </row>
    <row r="15" spans="1:391" ht="22.8" x14ac:dyDescent="0.3">
      <c r="A15" s="26" t="s">
        <v>437</v>
      </c>
      <c r="B15" s="26" t="s">
        <v>438</v>
      </c>
      <c r="C15" s="26" t="s">
        <v>413</v>
      </c>
      <c r="D15" s="26" t="s">
        <v>414</v>
      </c>
      <c r="E15" s="28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>
        <f t="shared" ref="Q15:Q17" si="18">Q3/E3-1</f>
        <v>3.1102594339622591E-2</v>
      </c>
      <c r="R15" s="32">
        <f t="shared" si="12"/>
        <v>3.1603704248125863E-2</v>
      </c>
      <c r="S15" s="32">
        <f t="shared" si="12"/>
        <v>3.2390444086179082E-2</v>
      </c>
      <c r="T15" s="32">
        <f t="shared" si="12"/>
        <v>2.9857267695892808E-2</v>
      </c>
      <c r="U15" s="32">
        <f t="shared" si="12"/>
        <v>3.1113695841814559E-2</v>
      </c>
      <c r="V15" s="32">
        <f t="shared" si="12"/>
        <v>3.31395348837209E-2</v>
      </c>
      <c r="W15" s="32">
        <f t="shared" si="12"/>
        <v>3.5454809648358232E-2</v>
      </c>
      <c r="X15" s="32">
        <f t="shared" si="12"/>
        <v>3.3328503115490404E-2</v>
      </c>
      <c r="Y15" s="32">
        <f t="shared" si="12"/>
        <v>3.2080924855491411E-2</v>
      </c>
      <c r="Z15" s="32">
        <f t="shared" si="12"/>
        <v>3.516863649466706E-2</v>
      </c>
      <c r="AA15" s="32">
        <f t="shared" si="12"/>
        <v>3.7719550820616288E-2</v>
      </c>
      <c r="AB15" s="32">
        <f t="shared" si="12"/>
        <v>3.3793500143802113E-2</v>
      </c>
      <c r="AC15" s="32">
        <f t="shared" si="12"/>
        <v>3.0736240171550966E-2</v>
      </c>
      <c r="AD15" s="32">
        <f t="shared" si="12"/>
        <v>3.2060416072955178E-2</v>
      </c>
      <c r="AE15" s="32">
        <f t="shared" si="12"/>
        <v>3.194207836456564E-2</v>
      </c>
      <c r="AF15" s="32">
        <f t="shared" si="12"/>
        <v>3.0547305897327348E-2</v>
      </c>
      <c r="AG15" s="32">
        <f t="shared" si="12"/>
        <v>3.1020868584320294E-2</v>
      </c>
      <c r="AH15" s="32">
        <f t="shared" si="12"/>
        <v>2.7855936972425388E-2</v>
      </c>
      <c r="AI15" s="32">
        <f t="shared" si="12"/>
        <v>2.4838619141173135E-2</v>
      </c>
      <c r="AJ15" s="32">
        <f t="shared" si="12"/>
        <v>2.3699340905903865E-2</v>
      </c>
      <c r="AK15" s="32">
        <f t="shared" si="12"/>
        <v>2.590310837300458E-2</v>
      </c>
      <c r="AL15" s="32">
        <f t="shared" si="12"/>
        <v>2.2974101921470425E-2</v>
      </c>
      <c r="AM15" s="32">
        <f t="shared" si="12"/>
        <v>2.0116537180910221E-2</v>
      </c>
      <c r="AN15" s="32">
        <f t="shared" si="12"/>
        <v>2.2395326192794496E-2</v>
      </c>
      <c r="AO15" s="32">
        <f t="shared" si="12"/>
        <v>2.3717059639389859E-2</v>
      </c>
      <c r="AP15" s="32">
        <f t="shared" si="12"/>
        <v>2.2504487090984293E-2</v>
      </c>
      <c r="AQ15" s="32">
        <f t="shared" si="12"/>
        <v>2.4074838354656736E-2</v>
      </c>
      <c r="AR15" s="32">
        <f t="shared" si="12"/>
        <v>2.2643062988884299E-2</v>
      </c>
      <c r="AS15" s="32">
        <f t="shared" si="12"/>
        <v>2.0787746170678245E-2</v>
      </c>
      <c r="AT15" s="32">
        <f t="shared" si="12"/>
        <v>2.1215439364905553E-2</v>
      </c>
      <c r="AU15" s="32">
        <f t="shared" si="12"/>
        <v>2.0813364370806386E-2</v>
      </c>
      <c r="AV15" s="32">
        <f t="shared" si="12"/>
        <v>2.0273972602739887E-2</v>
      </c>
      <c r="AW15" s="32">
        <f t="shared" si="12"/>
        <v>1.992629998635187E-2</v>
      </c>
      <c r="AX15" s="32">
        <f t="shared" si="12"/>
        <v>1.9191506737443742E-2</v>
      </c>
      <c r="AY15" s="32">
        <f t="shared" si="12"/>
        <v>1.9175846593227241E-2</v>
      </c>
      <c r="AZ15" s="32">
        <f t="shared" si="12"/>
        <v>1.959183673469389E-2</v>
      </c>
      <c r="BA15" s="32">
        <f t="shared" si="12"/>
        <v>1.6664408616718696E-2</v>
      </c>
      <c r="BB15" s="32">
        <f t="shared" si="12"/>
        <v>1.6203078584931196E-2</v>
      </c>
      <c r="BC15" s="32">
        <f t="shared" si="12"/>
        <v>1.370231058570659E-2</v>
      </c>
      <c r="BD15" s="32">
        <f t="shared" si="12"/>
        <v>1.5432098765432167E-2</v>
      </c>
      <c r="BE15" s="32">
        <f t="shared" si="12"/>
        <v>1.6211146838156498E-2</v>
      </c>
      <c r="BF15" s="32">
        <f t="shared" si="12"/>
        <v>1.6217665192333364E-2</v>
      </c>
      <c r="BG15" s="32">
        <f t="shared" si="12"/>
        <v>1.7035546613011432E-2</v>
      </c>
      <c r="BH15" s="32">
        <f t="shared" si="12"/>
        <v>1.7454350161117071E-2</v>
      </c>
      <c r="BI15" s="32">
        <f t="shared" si="12"/>
        <v>1.779740398768892E-2</v>
      </c>
      <c r="BJ15" s="32">
        <f t="shared" si="12"/>
        <v>1.8295940170940161E-2</v>
      </c>
      <c r="BK15" s="32">
        <f t="shared" si="12"/>
        <v>1.7614091273018495E-2</v>
      </c>
      <c r="BL15" s="32">
        <f t="shared" si="12"/>
        <v>1.7347211102215043E-2</v>
      </c>
      <c r="BM15" s="32">
        <f t="shared" si="12"/>
        <v>1.7723880597014796E-2</v>
      </c>
      <c r="BN15" s="32">
        <f t="shared" si="12"/>
        <v>1.7672070156789843E-2</v>
      </c>
      <c r="BO15" s="32">
        <f t="shared" si="12"/>
        <v>1.855287569573294E-2</v>
      </c>
      <c r="BP15" s="32">
        <f t="shared" si="12"/>
        <v>1.7047707149464575E-2</v>
      </c>
      <c r="BQ15" s="32">
        <f t="shared" si="12"/>
        <v>1.5952537903757502E-2</v>
      </c>
      <c r="BR15" s="32">
        <f t="shared" si="12"/>
        <v>1.6354523872329274E-2</v>
      </c>
      <c r="BS15" s="32">
        <f t="shared" si="12"/>
        <v>1.4903719335267906E-2</v>
      </c>
      <c r="BT15" s="32">
        <f t="shared" si="12"/>
        <v>1.9530219055159614E-2</v>
      </c>
      <c r="BU15" s="32">
        <f t="shared" si="12"/>
        <v>1.93268472258743E-2</v>
      </c>
      <c r="BV15" s="32">
        <f t="shared" si="12"/>
        <v>1.7967213114754133E-2</v>
      </c>
      <c r="BW15" s="32">
        <f t="shared" si="12"/>
        <v>1.875163912929434E-2</v>
      </c>
      <c r="BX15" s="32">
        <f t="shared" si="12"/>
        <v>1.9543546694648528E-2</v>
      </c>
      <c r="BY15" s="32">
        <f t="shared" si="12"/>
        <v>1.7938981275369859E-2</v>
      </c>
      <c r="BZ15" s="32">
        <f t="shared" si="12"/>
        <v>1.867084475780123E-2</v>
      </c>
      <c r="CA15" s="32">
        <f t="shared" si="12"/>
        <v>2.1597710122300162E-2</v>
      </c>
      <c r="CB15" s="32">
        <f t="shared" si="12"/>
        <v>2.0790020790020902E-2</v>
      </c>
      <c r="CC15" s="32">
        <f t="shared" si="12"/>
        <v>2.1541655852582275E-2</v>
      </c>
      <c r="CD15" s="32">
        <f t="shared" si="13"/>
        <v>2.1022579807941977E-2</v>
      </c>
      <c r="CE15" s="32">
        <f t="shared" si="13"/>
        <v>2.0532813515269588E-2</v>
      </c>
      <c r="CF15" s="32">
        <f t="shared" si="13"/>
        <v>1.4237639140564307E-2</v>
      </c>
      <c r="CG15" s="32">
        <f t="shared" si="13"/>
        <v>1.2898232942087029E-2</v>
      </c>
      <c r="CH15" s="32">
        <f t="shared" si="13"/>
        <v>1.301211028085536E-2</v>
      </c>
      <c r="CI15" s="32">
        <f t="shared" si="13"/>
        <v>1.0812202342643795E-2</v>
      </c>
      <c r="CJ15" s="32">
        <f t="shared" si="13"/>
        <v>1.2221793387366509E-2</v>
      </c>
      <c r="CK15" s="32">
        <f t="shared" si="13"/>
        <v>1.3763828145099133E-2</v>
      </c>
      <c r="CL15" s="32">
        <f t="shared" si="13"/>
        <v>1.2432709561650768E-2</v>
      </c>
      <c r="CM15" s="32">
        <f t="shared" si="13"/>
        <v>7.641365257259336E-3</v>
      </c>
      <c r="CN15" s="32">
        <f t="shared" si="13"/>
        <v>8.2739307535639739E-3</v>
      </c>
      <c r="CO15" s="32">
        <f t="shared" si="13"/>
        <v>8.1300813008129413E-3</v>
      </c>
      <c r="CP15" s="32">
        <f t="shared" si="13"/>
        <v>8.76970005083888E-3</v>
      </c>
      <c r="CQ15" s="32">
        <f t="shared" si="13"/>
        <v>9.5504902584999662E-3</v>
      </c>
      <c r="CR15" s="32">
        <f t="shared" si="13"/>
        <v>1.3527309851965263E-2</v>
      </c>
      <c r="CS15" s="32">
        <f t="shared" si="13"/>
        <v>1.3370686361899864E-2</v>
      </c>
      <c r="CT15" s="32">
        <f t="shared" si="13"/>
        <v>1.1318835050235343E-2</v>
      </c>
      <c r="CU15" s="32">
        <f t="shared" si="13"/>
        <v>1.3880045842353361E-2</v>
      </c>
      <c r="CV15" s="32">
        <f t="shared" si="13"/>
        <v>1.2582613116420838E-2</v>
      </c>
      <c r="CW15" s="32">
        <f t="shared" si="13"/>
        <v>7.9939094023599999E-3</v>
      </c>
      <c r="CX15" s="32">
        <f t="shared" si="13"/>
        <v>1.0001265983035967E-2</v>
      </c>
      <c r="CY15" s="32">
        <f t="shared" si="13"/>
        <v>1.0995955510616717E-2</v>
      </c>
      <c r="CZ15" s="32">
        <f t="shared" si="13"/>
        <v>1.2119681858351328E-2</v>
      </c>
      <c r="DA15" s="32">
        <f t="shared" si="13"/>
        <v>1.1592741935483986E-2</v>
      </c>
      <c r="DB15" s="32">
        <f t="shared" si="13"/>
        <v>1.2977195413884424E-2</v>
      </c>
      <c r="DC15" s="32">
        <f t="shared" si="13"/>
        <v>1.0847628657921327E-2</v>
      </c>
      <c r="DD15" s="32">
        <f t="shared" si="13"/>
        <v>1.0198942331906435E-2</v>
      </c>
      <c r="DE15" s="32">
        <f t="shared" si="13"/>
        <v>7.9165619502385987E-3</v>
      </c>
      <c r="DF15" s="32">
        <f t="shared" si="13"/>
        <v>7.7967806841046094E-3</v>
      </c>
      <c r="DG15" s="32">
        <f t="shared" si="13"/>
        <v>6.2798291886461133E-3</v>
      </c>
      <c r="DH15" s="32">
        <f t="shared" si="13"/>
        <v>7.154512363499288E-3</v>
      </c>
      <c r="DI15" s="32">
        <f t="shared" si="13"/>
        <v>7.678751258811678E-3</v>
      </c>
      <c r="DJ15" s="32">
        <f t="shared" si="13"/>
        <v>6.7686136876408121E-3</v>
      </c>
      <c r="DK15" s="32">
        <f t="shared" si="13"/>
        <v>7.2509063632952842E-3</v>
      </c>
      <c r="DL15" s="32">
        <f t="shared" si="13"/>
        <v>6.7356866658350167E-3</v>
      </c>
      <c r="DM15" s="32">
        <f t="shared" si="13"/>
        <v>5.854509217738002E-3</v>
      </c>
      <c r="DN15" s="32">
        <f t="shared" si="13"/>
        <v>4.4776119402984982E-3</v>
      </c>
      <c r="DO15" s="32">
        <f t="shared" si="13"/>
        <v>3.7434489643124458E-3</v>
      </c>
      <c r="DP15" s="32">
        <f t="shared" si="13"/>
        <v>3.1160413810296106E-3</v>
      </c>
      <c r="DQ15" s="32">
        <f t="shared" si="13"/>
        <v>4.1142002244110021E-3</v>
      </c>
      <c r="DR15" s="32">
        <f t="shared" si="13"/>
        <v>5.1160469178936907E-3</v>
      </c>
      <c r="DS15" s="32">
        <f t="shared" si="13"/>
        <v>5.3669495756365482E-3</v>
      </c>
      <c r="DT15" s="32">
        <f t="shared" si="13"/>
        <v>5.8574277168494948E-3</v>
      </c>
      <c r="DU15" s="32">
        <f t="shared" si="13"/>
        <v>7.3703935040601021E-3</v>
      </c>
      <c r="DV15" s="32">
        <f t="shared" si="13"/>
        <v>4.606573705179251E-3</v>
      </c>
      <c r="DW15" s="32">
        <f t="shared" si="13"/>
        <v>5.0887427082042525E-3</v>
      </c>
      <c r="DX15" s="32">
        <f t="shared" si="13"/>
        <v>4.3365134431918584E-3</v>
      </c>
      <c r="DY15" s="32">
        <f t="shared" si="13"/>
        <v>5.0773993808048701E-3</v>
      </c>
      <c r="DZ15" s="32">
        <f t="shared" si="13"/>
        <v>6.1911837543338066E-3</v>
      </c>
      <c r="EA15" s="32">
        <f t="shared" si="13"/>
        <v>7.9562406762805349E-3</v>
      </c>
      <c r="EB15" s="32">
        <f t="shared" si="13"/>
        <v>9.5675944333994956E-3</v>
      </c>
      <c r="EC15" s="32">
        <f t="shared" si="13"/>
        <v>1.0305438291532187E-2</v>
      </c>
      <c r="ED15" s="32">
        <f t="shared" si="13"/>
        <v>1.1049037864680367E-2</v>
      </c>
      <c r="EE15" s="32">
        <f t="shared" si="13"/>
        <v>1.2166356300434611E-2</v>
      </c>
      <c r="EF15" s="32">
        <f t="shared" si="13"/>
        <v>1.1398835336389634E-2</v>
      </c>
      <c r="EG15" s="32">
        <f t="shared" si="13"/>
        <v>1.1904761904761862E-2</v>
      </c>
      <c r="EH15" s="32">
        <f t="shared" si="13"/>
        <v>1.3632420374271925E-2</v>
      </c>
      <c r="EI15" s="32">
        <f t="shared" si="13"/>
        <v>1.5065448258829273E-2</v>
      </c>
      <c r="EJ15" s="32">
        <f t="shared" si="13"/>
        <v>1.8504811250925179E-2</v>
      </c>
      <c r="EK15" s="32">
        <f t="shared" si="13"/>
        <v>2.1439132577624642E-2</v>
      </c>
      <c r="EL15" s="32">
        <f t="shared" si="13"/>
        <v>2.0920502092049986E-2</v>
      </c>
      <c r="EM15" s="32">
        <f t="shared" si="13"/>
        <v>2.2570300937345911E-2</v>
      </c>
      <c r="EN15" s="32">
        <f t="shared" si="13"/>
        <v>2.1784615384615291E-2</v>
      </c>
      <c r="EO15" s="32">
        <f t="shared" si="13"/>
        <v>2.1506697800172114E-2</v>
      </c>
      <c r="EP15" s="32">
        <f t="shared" si="14"/>
        <v>2.2470530451866422E-2</v>
      </c>
      <c r="EQ15" s="32">
        <f t="shared" si="14"/>
        <v>1.9624678032625908E-2</v>
      </c>
      <c r="ER15" s="32">
        <f t="shared" si="14"/>
        <v>2.1193188778635408E-2</v>
      </c>
      <c r="ES15" s="32">
        <f t="shared" si="14"/>
        <v>2.6715686274509931E-2</v>
      </c>
      <c r="ET15" s="32">
        <f t="shared" si="14"/>
        <v>2.5675510453600614E-2</v>
      </c>
      <c r="EU15" s="32">
        <f t="shared" si="14"/>
        <v>2.457420924574194E-2</v>
      </c>
      <c r="EV15" s="32">
        <f t="shared" si="14"/>
        <v>2.2529069767441845E-2</v>
      </c>
      <c r="EW15" s="32">
        <f t="shared" si="14"/>
        <v>2.0024125452352104E-2</v>
      </c>
      <c r="EX15" s="32">
        <f t="shared" si="14"/>
        <v>2.0130183220829378E-2</v>
      </c>
      <c r="EY15" s="32">
        <f t="shared" si="14"/>
        <v>2.1107224701483629E-2</v>
      </c>
      <c r="EZ15" s="32">
        <f t="shared" si="14"/>
        <v>2.1199710913033076E-2</v>
      </c>
      <c r="FA15" s="32">
        <f t="shared" si="14"/>
        <v>2.0933589990375312E-2</v>
      </c>
      <c r="FB15" s="32">
        <f t="shared" si="14"/>
        <v>2.0055241983907734E-2</v>
      </c>
      <c r="FC15" s="32">
        <f t="shared" si="14"/>
        <v>2.2615181041741872E-2</v>
      </c>
      <c r="FD15" s="32">
        <f t="shared" si="14"/>
        <v>2.1473128598848534E-2</v>
      </c>
      <c r="FE15" s="32">
        <f t="shared" si="14"/>
        <v>1.6710432084029669E-2</v>
      </c>
      <c r="FF15" s="32">
        <f t="shared" si="14"/>
        <v>2.1337465728930916E-2</v>
      </c>
      <c r="FG15" s="32">
        <f t="shared" si="14"/>
        <v>2.0422702445974883E-2</v>
      </c>
      <c r="FH15" s="32">
        <f t="shared" si="14"/>
        <v>1.990049751243772E-2</v>
      </c>
      <c r="FI15" s="32">
        <f t="shared" si="14"/>
        <v>1.9157994323557359E-2</v>
      </c>
      <c r="FJ15" s="32">
        <f t="shared" si="14"/>
        <v>2.0796407893182156E-2</v>
      </c>
      <c r="FK15" s="32">
        <f t="shared" si="14"/>
        <v>1.8426647767540771E-2</v>
      </c>
      <c r="FL15" s="32">
        <f t="shared" si="14"/>
        <v>1.8990327907525417E-2</v>
      </c>
      <c r="FM15" s="32">
        <f t="shared" si="14"/>
        <v>2.1918453924110404E-2</v>
      </c>
      <c r="FN15" s="32">
        <f t="shared" si="14"/>
        <v>2.3310572168589561E-2</v>
      </c>
      <c r="FO15" s="32">
        <f t="shared" si="14"/>
        <v>2.3997176802728948E-2</v>
      </c>
      <c r="FP15" s="32">
        <f t="shared" si="14"/>
        <v>2.3605402231356321E-2</v>
      </c>
      <c r="FQ15" s="32">
        <f t="shared" si="14"/>
        <v>2.2423104015026896E-2</v>
      </c>
      <c r="FR15" s="32">
        <f t="shared" si="14"/>
        <v>2.147525676937434E-2</v>
      </c>
      <c r="FS15" s="32">
        <f t="shared" si="14"/>
        <v>2.1293925994880114E-2</v>
      </c>
      <c r="FT15" s="32">
        <f t="shared" si="14"/>
        <v>2.1718931475029013E-2</v>
      </c>
      <c r="FU15" s="32">
        <f t="shared" si="14"/>
        <v>2.2394987236017627E-2</v>
      </c>
      <c r="FV15" s="32">
        <f t="shared" si="14"/>
        <v>2.129876143072118E-2</v>
      </c>
      <c r="FW15" s="32">
        <f t="shared" si="14"/>
        <v>2.1340756205056932E-2</v>
      </c>
      <c r="FX15" s="32">
        <f t="shared" si="14"/>
        <v>2.0025465910406437E-2</v>
      </c>
      <c r="FY15" s="32">
        <f t="shared" si="14"/>
        <v>1.6951107011070166E-2</v>
      </c>
      <c r="FZ15" s="32">
        <f t="shared" si="14"/>
        <v>1.4956281638287994E-2</v>
      </c>
      <c r="GA15" s="32">
        <f t="shared" si="14"/>
        <v>1.3785180930499852E-2</v>
      </c>
      <c r="GB15" s="32">
        <f t="shared" si="14"/>
        <v>1.4685635612666337E-2</v>
      </c>
      <c r="GC15" s="32">
        <f t="shared" si="14"/>
        <v>1.1023079572855643E-2</v>
      </c>
      <c r="GD15" s="32">
        <f t="shared" si="14"/>
        <v>1.1425959780621664E-2</v>
      </c>
      <c r="GE15" s="32">
        <f t="shared" si="14"/>
        <v>1.3330295089438282E-2</v>
      </c>
      <c r="GF15" s="32">
        <f t="shared" si="14"/>
        <v>1.1481186768216523E-2</v>
      </c>
      <c r="GG15" s="32">
        <f t="shared" si="14"/>
        <v>1.1803427533764621E-2</v>
      </c>
      <c r="GH15" s="32">
        <f t="shared" si="14"/>
        <v>1.0087271902980754E-2</v>
      </c>
      <c r="GI15" s="32">
        <f t="shared" si="14"/>
        <v>7.9491255961845475E-3</v>
      </c>
      <c r="GJ15" s="32">
        <f t="shared" si="14"/>
        <v>1.0326827054017107E-2</v>
      </c>
      <c r="GK15" s="32">
        <f t="shared" si="14"/>
        <v>1.0658804853157955E-2</v>
      </c>
      <c r="GL15" s="32">
        <f t="shared" si="14"/>
        <v>9.8617093629562724E-3</v>
      </c>
      <c r="GM15" s="32">
        <f t="shared" si="14"/>
        <v>9.9716713881019547E-3</v>
      </c>
      <c r="GN15" s="32">
        <f t="shared" si="14"/>
        <v>1.0515603799186035E-2</v>
      </c>
      <c r="GO15" s="32">
        <f t="shared" si="14"/>
        <v>1.2379329926178295E-2</v>
      </c>
      <c r="GP15" s="32">
        <f t="shared" si="14"/>
        <v>1.0732037957523755E-2</v>
      </c>
      <c r="GQ15" s="32">
        <f t="shared" si="14"/>
        <v>8.6575219248932189E-3</v>
      </c>
      <c r="GR15" s="32">
        <f t="shared" si="14"/>
        <v>1.0676556529557235E-2</v>
      </c>
      <c r="GS15" s="32">
        <f t="shared" si="14"/>
        <v>1.1553561413348401E-2</v>
      </c>
      <c r="GT15" s="32">
        <f t="shared" si="14"/>
        <v>1.2455116696588941E-2</v>
      </c>
      <c r="GU15" s="32">
        <f t="shared" si="14"/>
        <v>1.3970256872465114E-2</v>
      </c>
      <c r="GV15" s="32">
        <f t="shared" si="14"/>
        <v>1.404021116477594E-2</v>
      </c>
      <c r="GW15" s="32">
        <f t="shared" si="14"/>
        <v>1.2902501963424351E-2</v>
      </c>
      <c r="GX15" s="32">
        <f t="shared" si="14"/>
        <v>1.3694017285890592E-2</v>
      </c>
      <c r="GY15" s="32">
        <f t="shared" si="14"/>
        <v>1.5034219679120442E-2</v>
      </c>
      <c r="GZ15" s="32">
        <f t="shared" si="14"/>
        <v>1.4658162694416443E-2</v>
      </c>
      <c r="HA15" s="32">
        <f t="shared" si="14"/>
        <v>1.4135068431680553E-2</v>
      </c>
      <c r="HB15" s="32">
        <f t="shared" si="15"/>
        <v>1.2294623896278001E-2</v>
      </c>
      <c r="HC15" s="32">
        <f t="shared" si="15"/>
        <v>1.2930554007357209E-2</v>
      </c>
      <c r="HD15" s="32">
        <f t="shared" si="15"/>
        <v>1.4344490159012402E-2</v>
      </c>
      <c r="HE15" s="32">
        <f t="shared" si="15"/>
        <v>1.3195830561099964E-2</v>
      </c>
      <c r="HF15" s="32">
        <f t="shared" si="15"/>
        <v>1.3631829768369519E-2</v>
      </c>
      <c r="HG15" s="32">
        <f t="shared" si="15"/>
        <v>1.3000000000000123E-2</v>
      </c>
      <c r="HH15" s="32">
        <f t="shared" si="15"/>
        <v>1.4731945059813789E-2</v>
      </c>
      <c r="HI15" s="32">
        <f t="shared" si="15"/>
        <v>1.5396544085068742E-2</v>
      </c>
      <c r="HJ15" s="32">
        <f t="shared" si="15"/>
        <v>1.7273834569815127E-2</v>
      </c>
      <c r="HK15" s="32">
        <f t="shared" si="15"/>
        <v>1.7685420581408096E-2</v>
      </c>
      <c r="HL15" s="32">
        <f t="shared" si="15"/>
        <v>1.9078076753418438E-2</v>
      </c>
      <c r="HM15" s="32">
        <f t="shared" si="15"/>
        <v>2.0243362831858347E-2</v>
      </c>
      <c r="HN15" s="32">
        <f t="shared" si="15"/>
        <v>2.1088660704427609E-2</v>
      </c>
      <c r="HO15" s="32">
        <f t="shared" si="15"/>
        <v>2.3660173874766155E-2</v>
      </c>
      <c r="HP15" s="32">
        <f t="shared" si="15"/>
        <v>2.2582766937075283E-2</v>
      </c>
      <c r="HQ15" s="32">
        <f t="shared" si="15"/>
        <v>2.3092918901171045E-2</v>
      </c>
      <c r="HR15" s="32">
        <f t="shared" si="15"/>
        <v>2.2960857205335694E-2</v>
      </c>
      <c r="HS15" s="32">
        <f t="shared" si="15"/>
        <v>2.3582318745201114E-2</v>
      </c>
      <c r="HT15" s="32">
        <f t="shared" si="15"/>
        <v>2.1395044209147507E-2</v>
      </c>
      <c r="HU15" s="32">
        <f t="shared" si="15"/>
        <v>2.0399258208792403E-2</v>
      </c>
      <c r="HV15" s="32">
        <f t="shared" si="15"/>
        <v>2.1007946010667133E-2</v>
      </c>
      <c r="HW15" s="32">
        <f t="shared" si="15"/>
        <v>1.8464212012599068E-2</v>
      </c>
      <c r="HX15" s="32">
        <f t="shared" si="15"/>
        <v>1.6773076506871432E-2</v>
      </c>
      <c r="HY15" s="32">
        <f t="shared" si="15"/>
        <v>1.5938414832483927E-2</v>
      </c>
      <c r="HZ15" s="32">
        <f t="shared" si="15"/>
        <v>1.6976643598615837E-2</v>
      </c>
      <c r="IA15" s="32">
        <f t="shared" si="15"/>
        <v>1.4620511717910123E-2</v>
      </c>
      <c r="IB15" s="32">
        <f t="shared" si="15"/>
        <v>1.3507718696397886E-2</v>
      </c>
      <c r="IC15" s="32">
        <f t="shared" si="15"/>
        <v>1.2836970474968012E-2</v>
      </c>
      <c r="ID15" s="32">
        <f t="shared" si="15"/>
        <v>1.1008978195810259E-2</v>
      </c>
      <c r="IE15" s="32">
        <f t="shared" si="15"/>
        <v>9.5370767252465072E-3</v>
      </c>
      <c r="IF15" s="32">
        <f t="shared" si="15"/>
        <v>1.0900929785187641E-2</v>
      </c>
      <c r="IG15" s="32">
        <f t="shared" si="15"/>
        <v>9.0870215950396016E-3</v>
      </c>
      <c r="IH15" s="32">
        <f t="shared" si="15"/>
        <v>7.5692963752667097E-3</v>
      </c>
      <c r="II15" s="32">
        <f t="shared" si="15"/>
        <v>7.7850058654154175E-3</v>
      </c>
      <c r="IJ15" s="32">
        <f t="shared" si="15"/>
        <v>9.0464027245638068E-3</v>
      </c>
      <c r="IK15" s="32">
        <f t="shared" si="15"/>
        <v>7.257203842049087E-3</v>
      </c>
      <c r="IL15" s="32">
        <f t="shared" si="15"/>
        <v>9.5693779904306719E-3</v>
      </c>
      <c r="IM15" s="32">
        <f t="shared" si="15"/>
        <v>9.6418732782370675E-3</v>
      </c>
      <c r="IN15" s="32">
        <f t="shared" si="15"/>
        <v>8.5678019885762069E-3</v>
      </c>
      <c r="IO15" s="32">
        <f t="shared" si="15"/>
        <v>7.498943810730907E-3</v>
      </c>
      <c r="IP15" s="32">
        <f t="shared" si="15"/>
        <v>8.8804313352364161E-3</v>
      </c>
      <c r="IQ15" s="32">
        <f t="shared" si="15"/>
        <v>9.8715635282879965E-3</v>
      </c>
      <c r="IR15" s="32">
        <f t="shared" si="15"/>
        <v>8.3518342319484073E-3</v>
      </c>
      <c r="IS15" s="32">
        <f t="shared" si="15"/>
        <v>9.2170780803051411E-3</v>
      </c>
      <c r="IT15" s="32">
        <f t="shared" si="15"/>
        <v>8.5705216379217131E-3</v>
      </c>
      <c r="IU15" s="32">
        <f t="shared" si="15"/>
        <v>9.1005291005290534E-3</v>
      </c>
      <c r="IV15" s="32">
        <f t="shared" si="15"/>
        <v>9.070773125197773E-3</v>
      </c>
      <c r="IW15" s="32">
        <f t="shared" si="15"/>
        <v>7.8406442042806557E-3</v>
      </c>
      <c r="IX15" s="32">
        <f t="shared" si="15"/>
        <v>5.8978409689309785E-3</v>
      </c>
      <c r="IY15" s="32">
        <f t="shared" si="15"/>
        <v>9.0250813306747002E-3</v>
      </c>
      <c r="IZ15" s="32">
        <f t="shared" si="15"/>
        <v>1.0907184058731145E-2</v>
      </c>
      <c r="JA15" s="32">
        <f t="shared" si="15"/>
        <v>1.2370269420274527E-2</v>
      </c>
      <c r="JB15" s="32">
        <f t="shared" si="15"/>
        <v>1.3203395158754905E-2</v>
      </c>
      <c r="JC15" s="32">
        <f t="shared" si="15"/>
        <v>1.1456800504519693E-2</v>
      </c>
      <c r="JD15" s="32">
        <f t="shared" si="15"/>
        <v>1.4258754455860778E-2</v>
      </c>
      <c r="JE15" s="32">
        <f t="shared" si="15"/>
        <v>1.3961788788578566E-2</v>
      </c>
      <c r="JF15" s="32">
        <f t="shared" si="15"/>
        <v>1.5946286193873282E-2</v>
      </c>
      <c r="JG15" s="32">
        <f t="shared" si="15"/>
        <v>1.7407718120805438E-2</v>
      </c>
      <c r="JH15" s="32">
        <f t="shared" si="15"/>
        <v>1.8605623497439217E-2</v>
      </c>
      <c r="JI15" s="32">
        <f t="shared" si="15"/>
        <v>1.8292682926829285E-2</v>
      </c>
      <c r="JJ15" s="32">
        <f t="shared" si="15"/>
        <v>1.7694482253167276E-2</v>
      </c>
      <c r="JK15" s="32">
        <f t="shared" si="15"/>
        <v>1.9032761310452395E-2</v>
      </c>
      <c r="JL15" s="32">
        <f t="shared" si="15"/>
        <v>1.7844174706919791E-2</v>
      </c>
      <c r="JM15" s="32">
        <f t="shared" si="15"/>
        <v>1.6878947913430808E-2</v>
      </c>
      <c r="JN15" s="32">
        <f t="shared" si="16"/>
        <v>1.8099079532526652E-2</v>
      </c>
      <c r="JO15" s="32">
        <f t="shared" si="16"/>
        <v>1.7873843915618748E-2</v>
      </c>
      <c r="JP15" s="32">
        <f t="shared" si="16"/>
        <v>1.633243746123636E-2</v>
      </c>
      <c r="JQ15" s="32">
        <f t="shared" si="16"/>
        <v>1.5426027539082732E-2</v>
      </c>
      <c r="JR15" s="32">
        <f t="shared" si="16"/>
        <v>1.5386204047914021E-2</v>
      </c>
      <c r="JS15" s="32">
        <f t="shared" si="16"/>
        <v>1.2987012987013102E-2</v>
      </c>
      <c r="JT15" s="32">
        <f t="shared" si="16"/>
        <v>1.2211390456644322E-2</v>
      </c>
      <c r="JU15" s="32">
        <f t="shared" si="16"/>
        <v>1.1046871773694011E-2</v>
      </c>
      <c r="JV15" s="32">
        <f t="shared" si="16"/>
        <v>9.3621399176955222E-3</v>
      </c>
      <c r="JW15" s="32">
        <f t="shared" si="16"/>
        <v>9.7979179424372287E-3</v>
      </c>
      <c r="JX15" s="32">
        <f t="shared" si="16"/>
        <v>7.8483335032106805E-3</v>
      </c>
      <c r="JY15" s="32">
        <f t="shared" si="16"/>
        <v>9.1649694501017009E-3</v>
      </c>
      <c r="JZ15" s="32">
        <f t="shared" si="16"/>
        <v>8.4315318976024844E-3</v>
      </c>
      <c r="KA15" s="32">
        <f t="shared" si="16"/>
        <v>9.9030117406839757E-3</v>
      </c>
      <c r="KB15" s="32">
        <f t="shared" si="16"/>
        <v>9.9674532139950589E-3</v>
      </c>
      <c r="KC15" s="32">
        <f t="shared" si="16"/>
        <v>9.0742251223490111E-3</v>
      </c>
      <c r="KD15" s="32">
        <f t="shared" si="16"/>
        <v>6.7120919353198527E-3</v>
      </c>
      <c r="KE15" s="32">
        <f t="shared" si="16"/>
        <v>7.2242572242571246E-3</v>
      </c>
      <c r="KF15" s="32">
        <f t="shared" si="16"/>
        <v>6.6909975669100508E-3</v>
      </c>
      <c r="KG15" s="32">
        <f t="shared" si="16"/>
        <v>6.9437353211476704E-3</v>
      </c>
      <c r="KH15" s="32">
        <f t="shared" si="16"/>
        <v>1.110997859545404E-2</v>
      </c>
      <c r="KI15" s="32">
        <f t="shared" si="16"/>
        <v>8.0857085102081783E-3</v>
      </c>
      <c r="KJ15" s="32">
        <f t="shared" si="16"/>
        <v>8.3940129449837642E-3</v>
      </c>
      <c r="KK15" s="32">
        <f t="shared" si="16"/>
        <v>6.5590312815337892E-3</v>
      </c>
      <c r="KL15" s="32">
        <f t="shared" si="16"/>
        <v>4.4323562002619443E-3</v>
      </c>
      <c r="KM15" s="32">
        <f t="shared" si="16"/>
        <v>4.4480388192478237E-3</v>
      </c>
      <c r="KN15" s="32">
        <f t="shared" si="16"/>
        <v>6.1430010070493424E-3</v>
      </c>
      <c r="KO15" s="32">
        <f t="shared" si="16"/>
        <v>5.4561988481358625E-3</v>
      </c>
      <c r="KP15" s="32">
        <f t="shared" si="16"/>
        <v>5.9601979997980781E-3</v>
      </c>
      <c r="KQ15" s="32">
        <f t="shared" si="16"/>
        <v>4.6469340337409459E-3</v>
      </c>
      <c r="KR15" s="32">
        <f t="shared" si="16"/>
        <v>4.733131923464251E-3</v>
      </c>
      <c r="KS15" s="32">
        <f t="shared" si="16"/>
        <v>2.6366494270357865E-3</v>
      </c>
      <c r="KT15" s="32">
        <f t="shared" si="16"/>
        <v>1.9153225806451957E-3</v>
      </c>
      <c r="KU15" s="32">
        <f t="shared" si="16"/>
        <v>2.8072989773411106E-3</v>
      </c>
      <c r="KV15" s="32">
        <f t="shared" si="16"/>
        <v>4.1119245812857308E-3</v>
      </c>
      <c r="KW15" s="32">
        <f t="shared" si="16"/>
        <v>5.5137844611528042E-3</v>
      </c>
      <c r="KX15" s="32">
        <f t="shared" si="16"/>
        <v>5.5159963895297093E-3</v>
      </c>
      <c r="KY15" s="32">
        <f t="shared" si="16"/>
        <v>5.5354267310789851E-3</v>
      </c>
      <c r="KZ15" s="32">
        <f t="shared" si="16"/>
        <v>5.2046842157942308E-3</v>
      </c>
      <c r="LA15" s="32">
        <f t="shared" si="16"/>
        <v>5.7280675309012707E-3</v>
      </c>
      <c r="LB15" s="32">
        <f t="shared" si="16"/>
        <v>6.2261498292830453E-3</v>
      </c>
      <c r="LC15" s="32">
        <f t="shared" si="16"/>
        <v>5.8320764203116937E-3</v>
      </c>
      <c r="LD15" s="32">
        <f t="shared" si="16"/>
        <v>6.1140623433897368E-3</v>
      </c>
      <c r="LE15" s="32">
        <f t="shared" si="16"/>
        <v>5.7651461515120239E-3</v>
      </c>
      <c r="LF15" s="32">
        <f t="shared" si="16"/>
        <v>4.0245497534963093E-3</v>
      </c>
      <c r="LG15" s="32">
        <f t="shared" si="16"/>
        <v>4.4991001799641328E-3</v>
      </c>
      <c r="LH15" s="32">
        <f t="shared" si="16"/>
        <v>3.9952057530963092E-3</v>
      </c>
      <c r="LI15" s="32">
        <f t="shared" si="16"/>
        <v>4.8853439680958122E-3</v>
      </c>
      <c r="LJ15" s="32">
        <f t="shared" si="16"/>
        <v>4.7875523638538642E-3</v>
      </c>
      <c r="LK15" s="32">
        <f t="shared" si="16"/>
        <v>5.4048643779402994E-3</v>
      </c>
      <c r="LL15" s="32">
        <f t="shared" si="16"/>
        <v>5.0781638952503982E-3</v>
      </c>
      <c r="LM15" s="32">
        <f t="shared" si="16"/>
        <v>5.2957633892884992E-3</v>
      </c>
      <c r="LN15" s="32">
        <f t="shared" si="16"/>
        <v>3.2934131736526151E-3</v>
      </c>
      <c r="LO15" s="32">
        <f t="shared" si="16"/>
        <v>4.0987703688892818E-3</v>
      </c>
      <c r="LP15" s="32">
        <f t="shared" si="16"/>
        <v>3.0882645945407017E-3</v>
      </c>
      <c r="LQ15" s="32">
        <f t="shared" si="16"/>
        <v>6.1343523732904082E-3</v>
      </c>
      <c r="LR15" s="32">
        <f t="shared" si="16"/>
        <v>3.9082072351939168E-3</v>
      </c>
      <c r="LS15" s="32">
        <f t="shared" si="16"/>
        <v>4.5784811386484492E-3</v>
      </c>
      <c r="LT15" s="32">
        <f t="shared" si="16"/>
        <v>5.2725825706327889E-3</v>
      </c>
      <c r="LU15" s="32">
        <f t="shared" si="16"/>
        <v>4.3655124516321919E-3</v>
      </c>
      <c r="LV15" s="32">
        <f t="shared" si="16"/>
        <v>5.8566607107406465E-3</v>
      </c>
      <c r="LW15" s="32">
        <f t="shared" si="16"/>
        <v>5.9731209556992404E-3</v>
      </c>
      <c r="LX15" s="32">
        <f t="shared" si="16"/>
        <v>5.7459877154746319E-3</v>
      </c>
      <c r="LY15" s="32">
        <f t="shared" si="16"/>
        <v>6.4605903985688329E-3</v>
      </c>
      <c r="LZ15" s="32">
        <f t="shared" si="17"/>
        <v>7.4604595643090743E-3</v>
      </c>
      <c r="MA15" s="32">
        <f t="shared" si="17"/>
        <v>8.2636399840700925E-3</v>
      </c>
      <c r="MB15" s="32">
        <f t="shared" si="17"/>
        <v>8.7396960969310378E-3</v>
      </c>
      <c r="MC15" s="32">
        <f t="shared" si="17"/>
        <v>1.0094952523738154E-2</v>
      </c>
      <c r="MD15" s="32">
        <f t="shared" si="17"/>
        <v>8.4847274905170966E-3</v>
      </c>
      <c r="ME15" s="32">
        <f t="shared" si="17"/>
        <v>1.2582978301793224E-2</v>
      </c>
      <c r="MF15" s="32">
        <f t="shared" si="17"/>
        <v>1.2370113805046934E-2</v>
      </c>
      <c r="MG15" s="32">
        <f t="shared" si="17"/>
        <v>1.3533537488886527E-2</v>
      </c>
      <c r="MH15" s="32">
        <f t="shared" si="17"/>
        <v>1.1941182275732931E-2</v>
      </c>
      <c r="MI15" s="32">
        <f t="shared" si="17"/>
        <v>1.3260761999010384E-2</v>
      </c>
      <c r="MJ15" s="32">
        <f t="shared" si="17"/>
        <v>1.3888888888889062E-2</v>
      </c>
      <c r="MK15" s="32">
        <f t="shared" si="17"/>
        <v>1.3332016590953844E-2</v>
      </c>
      <c r="ML15" s="32">
        <f t="shared" si="17"/>
        <v>1.2638230647709303E-2</v>
      </c>
      <c r="MM15" s="32">
        <f t="shared" si="17"/>
        <v>1.1059543793818571E-2</v>
      </c>
      <c r="MN15" s="32">
        <f t="shared" si="17"/>
        <v>1.0436152407206967E-2</v>
      </c>
      <c r="MO15" s="32">
        <f t="shared" si="17"/>
        <v>1.1775183059568484E-2</v>
      </c>
      <c r="MP15" s="32">
        <f t="shared" si="17"/>
        <v>1.1481738097594674E-2</v>
      </c>
      <c r="MQ15" s="32">
        <f t="shared" si="17"/>
        <v>7.6320939334637572E-3</v>
      </c>
      <c r="MR15" s="32">
        <f t="shared" si="17"/>
        <v>9.6774193548387899E-3</v>
      </c>
      <c r="MS15" s="32">
        <f t="shared" si="17"/>
        <v>7.2124756335283369E-3</v>
      </c>
      <c r="MT15" s="32">
        <f t="shared" si="17"/>
        <v>1.0629998049541456E-2</v>
      </c>
      <c r="MU15" s="32">
        <f t="shared" si="17"/>
        <v>1.0938568219552636E-2</v>
      </c>
      <c r="MV15" s="32">
        <f t="shared" si="17"/>
        <v>1.0686874574953764E-2</v>
      </c>
      <c r="MW15" s="32">
        <f t="shared" si="17"/>
        <v>9.7456388266250471E-3</v>
      </c>
      <c r="MX15" s="32">
        <f t="shared" si="17"/>
        <v>9.7503900156006296E-3</v>
      </c>
      <c r="MY15" s="32">
        <f t="shared" si="17"/>
        <v>1.191522609629847E-2</v>
      </c>
      <c r="MZ15" s="32">
        <f t="shared" si="17"/>
        <v>1.3641235506187233E-2</v>
      </c>
      <c r="NA15" s="32">
        <f t="shared" si="17"/>
        <v>1.2322738386308041E-2</v>
      </c>
      <c r="NB15" s="32">
        <f t="shared" si="17"/>
        <v>1.4580683041393483E-2</v>
      </c>
      <c r="NC15" s="32">
        <f t="shared" si="17"/>
        <v>1.0875898232666437E-2</v>
      </c>
      <c r="ND15" s="32">
        <f t="shared" si="17"/>
        <v>1.094007164294708E-2</v>
      </c>
      <c r="NE15" s="32">
        <f t="shared" si="17"/>
        <v>1.3741048964582836E-2</v>
      </c>
      <c r="NF15" s="32">
        <f t="shared" si="17"/>
        <v>1.0325195406735599E-2</v>
      </c>
      <c r="NG15" s="32">
        <f t="shared" si="17"/>
        <v>1.4781180562264629E-2</v>
      </c>
      <c r="NH15" s="32">
        <f t="shared" si="17"/>
        <v>8.5552244544842004E-3</v>
      </c>
      <c r="NI15" s="32">
        <f t="shared" si="17"/>
        <v>7.5282308657464991E-3</v>
      </c>
      <c r="NJ15" s="32">
        <f t="shared" si="17"/>
        <v>7.4353032058709356E-3</v>
      </c>
      <c r="NK15" s="32">
        <f t="shared" si="17"/>
        <v>8.9759675706979625E-3</v>
      </c>
      <c r="NL15" s="32">
        <f t="shared" si="17"/>
        <v>5.8636931654330038E-3</v>
      </c>
      <c r="NM15" s="32">
        <f t="shared" si="17"/>
        <v>1.1206646700801848E-2</v>
      </c>
      <c r="NN15" s="32">
        <f t="shared" si="17"/>
        <v>7.4266975308641126E-3</v>
      </c>
      <c r="NO15" s="32">
        <f t="shared" si="17"/>
        <v>8.1652257444766452E-3</v>
      </c>
      <c r="NP15" s="32">
        <f t="shared" si="17"/>
        <v>6.5121624209920626E-3</v>
      </c>
      <c r="NQ15" s="32">
        <f t="shared" si="17"/>
        <v>6.2046582665138406E-3</v>
      </c>
      <c r="NR15" s="32">
        <f t="shared" si="17"/>
        <v>7.3543457497611264E-3</v>
      </c>
      <c r="NS15" s="32">
        <f t="shared" si="17"/>
        <v>2.760853008377584E-3</v>
      </c>
      <c r="NT15" s="32">
        <f t="shared" si="17"/>
        <v>1.0007624857033992E-2</v>
      </c>
      <c r="NU15" s="32">
        <f t="shared" si="17"/>
        <v>1.1495353961107346E-2</v>
      </c>
      <c r="NV15" s="32">
        <f t="shared" si="17"/>
        <v>1.2268762580274206E-2</v>
      </c>
      <c r="NW15" s="32">
        <f t="shared" si="17"/>
        <v>1.2818060072699256E-2</v>
      </c>
      <c r="NX15" s="32">
        <f t="shared" si="17"/>
        <v>1.4908256880733939E-2</v>
      </c>
      <c r="NY15" s="32">
        <f t="shared" si="17"/>
        <v>1.4521830514951706E-2</v>
      </c>
      <c r="NZ15" s="32">
        <f t="shared" si="17"/>
        <v>2.1541407371948207E-2</v>
      </c>
      <c r="OA15" s="32">
        <f t="shared" si="17"/>
        <v>2.3153882801333792E-2</v>
      </c>
    </row>
    <row r="16" spans="1:391" ht="22.8" x14ac:dyDescent="0.3">
      <c r="A16" s="26" t="s">
        <v>439</v>
      </c>
      <c r="B16" s="26" t="s">
        <v>440</v>
      </c>
      <c r="C16" s="26" t="s">
        <v>413</v>
      </c>
      <c r="D16" s="26" t="s">
        <v>414</v>
      </c>
      <c r="E16" s="28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>
        <f t="shared" si="18"/>
        <v>3.3778822147158216E-2</v>
      </c>
      <c r="R16" s="32">
        <f t="shared" si="12"/>
        <v>3.4442327421954966E-2</v>
      </c>
      <c r="S16" s="32">
        <f t="shared" si="12"/>
        <v>3.391812865497057E-2</v>
      </c>
      <c r="T16" s="32">
        <f t="shared" si="12"/>
        <v>3.1404478045943485E-2</v>
      </c>
      <c r="U16" s="32">
        <f t="shared" si="12"/>
        <v>3.3096240383219566E-2</v>
      </c>
      <c r="V16" s="32">
        <f t="shared" si="12"/>
        <v>3.5714285714285809E-2</v>
      </c>
      <c r="W16" s="32">
        <f t="shared" si="12"/>
        <v>3.8171262699564501E-2</v>
      </c>
      <c r="X16" s="32">
        <f t="shared" si="12"/>
        <v>3.2583621683967889E-2</v>
      </c>
      <c r="Y16" s="32">
        <f t="shared" si="12"/>
        <v>2.6767821356999733E-2</v>
      </c>
      <c r="Z16" s="32">
        <f t="shared" si="12"/>
        <v>2.6934587430525792E-2</v>
      </c>
      <c r="AA16" s="32">
        <f t="shared" si="12"/>
        <v>3.2548179871520366E-2</v>
      </c>
      <c r="AB16" s="32">
        <f t="shared" si="12"/>
        <v>3.0000000000000027E-2</v>
      </c>
      <c r="AC16" s="32">
        <f t="shared" si="12"/>
        <v>2.5998011081119543E-2</v>
      </c>
      <c r="AD16" s="32">
        <f t="shared" si="12"/>
        <v>2.7628223292717635E-2</v>
      </c>
      <c r="AE16" s="32">
        <f t="shared" si="12"/>
        <v>2.8987556561085981E-2</v>
      </c>
      <c r="AF16" s="32">
        <f t="shared" si="12"/>
        <v>2.7769946433605863E-2</v>
      </c>
      <c r="AG16" s="32">
        <f t="shared" si="12"/>
        <v>2.6696641843473312E-2</v>
      </c>
      <c r="AH16" s="32">
        <f t="shared" si="12"/>
        <v>2.3549201009251286E-2</v>
      </c>
      <c r="AI16" s="32">
        <f t="shared" si="12"/>
        <v>2.0411016356773226E-2</v>
      </c>
      <c r="AJ16" s="32">
        <f t="shared" si="12"/>
        <v>1.8430605975984227E-2</v>
      </c>
      <c r="AK16" s="32">
        <f t="shared" si="12"/>
        <v>1.9935870625958252E-2</v>
      </c>
      <c r="AL16" s="32">
        <f t="shared" si="12"/>
        <v>1.7901748542880735E-2</v>
      </c>
      <c r="AM16" s="32">
        <f t="shared" si="12"/>
        <v>1.520807410479752E-2</v>
      </c>
      <c r="AN16" s="32">
        <f t="shared" si="12"/>
        <v>1.7891816920943215E-2</v>
      </c>
      <c r="AO16" s="32">
        <f t="shared" si="12"/>
        <v>1.9385211852672501E-2</v>
      </c>
      <c r="AP16" s="32">
        <f t="shared" si="12"/>
        <v>1.7647869846959985E-2</v>
      </c>
      <c r="AQ16" s="32">
        <f t="shared" si="12"/>
        <v>1.9513535797718973E-2</v>
      </c>
      <c r="AR16" s="32">
        <f t="shared" si="12"/>
        <v>1.879028939788796E-2</v>
      </c>
      <c r="AS16" s="32">
        <f t="shared" si="12"/>
        <v>1.7791159162447112E-2</v>
      </c>
      <c r="AT16" s="32">
        <f t="shared" si="12"/>
        <v>1.7118597644480982E-2</v>
      </c>
      <c r="AU16" s="32">
        <f t="shared" si="12"/>
        <v>1.8495684340320784E-2</v>
      </c>
      <c r="AV16" s="32">
        <f t="shared" si="12"/>
        <v>1.905675897998349E-2</v>
      </c>
      <c r="AW16" s="32">
        <f t="shared" si="12"/>
        <v>1.9272826681246524E-2</v>
      </c>
      <c r="AX16" s="32">
        <f t="shared" si="12"/>
        <v>1.854124062713014E-2</v>
      </c>
      <c r="AY16" s="32">
        <f t="shared" si="12"/>
        <v>1.8384856325752263E-2</v>
      </c>
      <c r="AZ16" s="32">
        <f t="shared" si="12"/>
        <v>1.8531135032020751E-2</v>
      </c>
      <c r="BA16" s="32">
        <f t="shared" si="12"/>
        <v>1.5077424612876866E-2</v>
      </c>
      <c r="BB16" s="32">
        <f t="shared" si="12"/>
        <v>1.4767646660344136E-2</v>
      </c>
      <c r="BC16" s="32">
        <f t="shared" si="12"/>
        <v>1.1861436851327678E-2</v>
      </c>
      <c r="BD16" s="32">
        <f t="shared" si="12"/>
        <v>1.3462574044157183E-2</v>
      </c>
      <c r="BE16" s="32">
        <f t="shared" si="12"/>
        <v>1.452198467123833E-2</v>
      </c>
      <c r="BF16" s="32">
        <f t="shared" si="12"/>
        <v>1.5484044701763899E-2</v>
      </c>
      <c r="BG16" s="32">
        <f t="shared" si="12"/>
        <v>1.4258810868980287E-2</v>
      </c>
      <c r="BH16" s="32">
        <f t="shared" si="12"/>
        <v>1.4395264361630744E-2</v>
      </c>
      <c r="BI16" s="32">
        <f t="shared" si="12"/>
        <v>1.4348933887622373E-2</v>
      </c>
      <c r="BJ16" s="32">
        <f t="shared" si="12"/>
        <v>1.4589747021817701E-2</v>
      </c>
      <c r="BK16" s="32">
        <f t="shared" si="12"/>
        <v>1.2703931532495272E-2</v>
      </c>
      <c r="BL16" s="32">
        <f t="shared" si="12"/>
        <v>1.2575250836120322E-2</v>
      </c>
      <c r="BM16" s="32">
        <f t="shared" si="12"/>
        <v>1.5522547838886513E-2</v>
      </c>
      <c r="BN16" s="32">
        <f t="shared" si="12"/>
        <v>1.642189586114795E-2</v>
      </c>
      <c r="BO16" s="32">
        <f t="shared" si="12"/>
        <v>1.7317170640735569E-2</v>
      </c>
      <c r="BP16" s="32">
        <f t="shared" si="12"/>
        <v>1.5674814027630157E-2</v>
      </c>
      <c r="BQ16" s="32">
        <f t="shared" si="12"/>
        <v>1.4844267726971339E-2</v>
      </c>
      <c r="BR16" s="32">
        <f t="shared" si="12"/>
        <v>1.5380535666931872E-2</v>
      </c>
      <c r="BS16" s="32">
        <f t="shared" si="12"/>
        <v>1.3793103448275668E-2</v>
      </c>
      <c r="BT16" s="32">
        <f t="shared" si="12"/>
        <v>1.7506631299734732E-2</v>
      </c>
      <c r="BU16" s="32">
        <f t="shared" si="12"/>
        <v>1.7979904812268632E-2</v>
      </c>
      <c r="BV16" s="32">
        <f t="shared" si="12"/>
        <v>1.6886543535620024E-2</v>
      </c>
      <c r="BW16" s="32">
        <f t="shared" si="12"/>
        <v>1.8750825300409391E-2</v>
      </c>
      <c r="BX16" s="32">
        <f t="shared" si="12"/>
        <v>2.0081913066455126E-2</v>
      </c>
      <c r="BY16" s="32">
        <f t="shared" si="12"/>
        <v>1.8052444327316008E-2</v>
      </c>
      <c r="BZ16" s="32">
        <f t="shared" si="12"/>
        <v>1.8652305267305991E-2</v>
      </c>
      <c r="CA16" s="32">
        <f t="shared" si="12"/>
        <v>2.2129108288595045E-2</v>
      </c>
      <c r="CB16" s="32">
        <f t="shared" si="12"/>
        <v>2.2103060423751097E-2</v>
      </c>
      <c r="CC16" s="32">
        <f t="shared" si="12"/>
        <v>2.2724304557921071E-2</v>
      </c>
      <c r="CD16" s="32">
        <f t="shared" si="13"/>
        <v>2.1415513188822066E-2</v>
      </c>
      <c r="CE16" s="32">
        <f t="shared" si="13"/>
        <v>2.1323914181057058E-2</v>
      </c>
      <c r="CF16" s="32">
        <f t="shared" si="13"/>
        <v>1.5641293013555879E-2</v>
      </c>
      <c r="CG16" s="32">
        <f t="shared" si="13"/>
        <v>1.5064935064935003E-2</v>
      </c>
      <c r="CH16" s="32">
        <f t="shared" si="13"/>
        <v>1.6735858847950258E-2</v>
      </c>
      <c r="CI16" s="32">
        <f t="shared" si="13"/>
        <v>1.490602721970169E-2</v>
      </c>
      <c r="CJ16" s="32">
        <f t="shared" si="13"/>
        <v>1.5542028234684757E-2</v>
      </c>
      <c r="CK16" s="32">
        <f t="shared" si="13"/>
        <v>1.6308568470100759E-2</v>
      </c>
      <c r="CL16" s="32">
        <f t="shared" si="13"/>
        <v>1.4442295293359164E-2</v>
      </c>
      <c r="CM16" s="32">
        <f t="shared" si="13"/>
        <v>8.7112477581345882E-3</v>
      </c>
      <c r="CN16" s="32">
        <f t="shared" si="13"/>
        <v>7.9334612923862569E-3</v>
      </c>
      <c r="CO16" s="32">
        <f t="shared" si="13"/>
        <v>7.278763887115236E-3</v>
      </c>
      <c r="CP16" s="32">
        <f t="shared" si="13"/>
        <v>8.3098951674764887E-3</v>
      </c>
      <c r="CQ16" s="32">
        <f t="shared" si="13"/>
        <v>8.8382221083644907E-3</v>
      </c>
      <c r="CR16" s="32">
        <f t="shared" si="13"/>
        <v>1.3475359342915771E-2</v>
      </c>
      <c r="CS16" s="32">
        <f t="shared" si="13"/>
        <v>1.2154554759467695E-2</v>
      </c>
      <c r="CT16" s="32">
        <f t="shared" si="13"/>
        <v>8.9319892816126512E-3</v>
      </c>
      <c r="CU16" s="32">
        <f t="shared" si="13"/>
        <v>1.1621966794380434E-2</v>
      </c>
      <c r="CV16" s="32">
        <f t="shared" si="13"/>
        <v>1.0585384517280971E-2</v>
      </c>
      <c r="CW16" s="32">
        <f t="shared" si="13"/>
        <v>5.4763117677025797E-3</v>
      </c>
      <c r="CX16" s="32">
        <f t="shared" si="13"/>
        <v>7.3725689589423382E-3</v>
      </c>
      <c r="CY16" s="32">
        <f t="shared" si="13"/>
        <v>8.2550165100330197E-3</v>
      </c>
      <c r="CZ16" s="32">
        <f t="shared" si="13"/>
        <v>9.9022470483687286E-3</v>
      </c>
      <c r="DA16" s="32">
        <f t="shared" si="13"/>
        <v>8.7474645030425346E-3</v>
      </c>
      <c r="DB16" s="32">
        <f t="shared" si="13"/>
        <v>9.6361100545199196E-3</v>
      </c>
      <c r="DC16" s="32">
        <f t="shared" si="13"/>
        <v>7.6180802437784134E-3</v>
      </c>
      <c r="DD16" s="32">
        <f t="shared" si="13"/>
        <v>5.6983664682790369E-3</v>
      </c>
      <c r="DE16" s="32">
        <f t="shared" si="13"/>
        <v>3.5393755530275239E-3</v>
      </c>
      <c r="DF16" s="32">
        <f t="shared" si="13"/>
        <v>3.4146958391301219E-3</v>
      </c>
      <c r="DG16" s="32">
        <f t="shared" si="13"/>
        <v>1.009973488196092E-3</v>
      </c>
      <c r="DH16" s="32">
        <f t="shared" si="13"/>
        <v>1.7667844522968323E-3</v>
      </c>
      <c r="DI16" s="32">
        <f t="shared" si="13"/>
        <v>1.6466117796072322E-3</v>
      </c>
      <c r="DJ16" s="32">
        <f t="shared" si="13"/>
        <v>1.0094637223974079E-3</v>
      </c>
      <c r="DK16" s="32">
        <f t="shared" si="13"/>
        <v>2.6451694168030393E-3</v>
      </c>
      <c r="DL16" s="32">
        <f t="shared" si="13"/>
        <v>3.5197988686361814E-3</v>
      </c>
      <c r="DM16" s="32">
        <f t="shared" si="13"/>
        <v>3.2675631519416548E-3</v>
      </c>
      <c r="DN16" s="32">
        <f t="shared" si="13"/>
        <v>2.5116162250409246E-3</v>
      </c>
      <c r="DO16" s="32">
        <f t="shared" si="13"/>
        <v>3.1502016129032473E-3</v>
      </c>
      <c r="DP16" s="32">
        <f t="shared" si="13"/>
        <v>4.0292117854443532E-3</v>
      </c>
      <c r="DQ16" s="32">
        <f t="shared" si="13"/>
        <v>6.0461015241215499E-3</v>
      </c>
      <c r="DR16" s="32">
        <f t="shared" si="13"/>
        <v>7.4363498865641642E-3</v>
      </c>
      <c r="DS16" s="32">
        <f t="shared" si="13"/>
        <v>8.449993694034319E-3</v>
      </c>
      <c r="DT16" s="32">
        <f t="shared" si="13"/>
        <v>1.1841773746535722E-2</v>
      </c>
      <c r="DU16" s="32">
        <f t="shared" si="13"/>
        <v>1.479514415781491E-2</v>
      </c>
      <c r="DV16" s="32">
        <f t="shared" si="13"/>
        <v>1.2857683095928385E-2</v>
      </c>
      <c r="DW16" s="32">
        <f t="shared" si="13"/>
        <v>1.4195979899497502E-2</v>
      </c>
      <c r="DX16" s="32">
        <f t="shared" si="13"/>
        <v>1.1273957158962844E-2</v>
      </c>
      <c r="DY16" s="32">
        <f t="shared" si="13"/>
        <v>1.3403482400100364E-2</v>
      </c>
      <c r="DZ16" s="32">
        <f t="shared" si="13"/>
        <v>1.5908806213202897E-2</v>
      </c>
      <c r="EA16" s="32">
        <f t="shared" si="13"/>
        <v>1.7083280994849792E-2</v>
      </c>
      <c r="EB16" s="32">
        <f t="shared" si="13"/>
        <v>1.7431652871833458E-2</v>
      </c>
      <c r="EC16" s="32">
        <f t="shared" si="13"/>
        <v>2.1034180543382908E-2</v>
      </c>
      <c r="ED16" s="32">
        <f t="shared" si="13"/>
        <v>1.9016639559614523E-2</v>
      </c>
      <c r="EE16" s="32">
        <f t="shared" si="13"/>
        <v>2.0885442721360725E-2</v>
      </c>
      <c r="EF16" s="32">
        <f t="shared" si="13"/>
        <v>1.5936254980079667E-2</v>
      </c>
      <c r="EG16" s="32">
        <f t="shared" si="13"/>
        <v>1.1588785046729111E-2</v>
      </c>
      <c r="EH16" s="32">
        <f t="shared" si="13"/>
        <v>1.2943372744244064E-2</v>
      </c>
      <c r="EI16" s="32">
        <f t="shared" si="13"/>
        <v>1.2758577975969354E-2</v>
      </c>
      <c r="EJ16" s="32">
        <f t="shared" si="13"/>
        <v>1.7713365539452353E-2</v>
      </c>
      <c r="EK16" s="32">
        <f t="shared" si="13"/>
        <v>2.2002472187886202E-2</v>
      </c>
      <c r="EL16" s="32">
        <f t="shared" si="13"/>
        <v>2.0098643649815173E-2</v>
      </c>
      <c r="EM16" s="32">
        <f t="shared" si="13"/>
        <v>1.9636902556502411E-2</v>
      </c>
      <c r="EN16" s="32">
        <f t="shared" si="13"/>
        <v>1.7626032293849514E-2</v>
      </c>
      <c r="EO16" s="32">
        <f t="shared" si="13"/>
        <v>1.4224402207234865E-2</v>
      </c>
      <c r="EP16" s="32">
        <f t="shared" si="14"/>
        <v>1.6083486801718783E-2</v>
      </c>
      <c r="EQ16" s="32">
        <f t="shared" si="14"/>
        <v>1.1025358324145529E-2</v>
      </c>
      <c r="ER16" s="32">
        <f t="shared" si="14"/>
        <v>1.2622549019607909E-2</v>
      </c>
      <c r="ES16" s="32">
        <f t="shared" si="14"/>
        <v>2.1064301552106368E-2</v>
      </c>
      <c r="ET16" s="32">
        <f t="shared" si="14"/>
        <v>1.9658434697137128E-2</v>
      </c>
      <c r="EU16" s="32">
        <f t="shared" si="14"/>
        <v>1.9569471624266033E-2</v>
      </c>
      <c r="EV16" s="32">
        <f t="shared" si="14"/>
        <v>1.8500486854917453E-2</v>
      </c>
      <c r="EW16" s="32">
        <f t="shared" si="14"/>
        <v>1.3425253991291797E-2</v>
      </c>
      <c r="EX16" s="32">
        <f t="shared" si="14"/>
        <v>1.269188927837539E-2</v>
      </c>
      <c r="EY16" s="32">
        <f t="shared" si="14"/>
        <v>1.4777131782945707E-2</v>
      </c>
      <c r="EZ16" s="32">
        <f t="shared" si="14"/>
        <v>1.7199612403100861E-2</v>
      </c>
      <c r="FA16" s="32">
        <f t="shared" si="14"/>
        <v>1.7289324144601714E-2</v>
      </c>
      <c r="FB16" s="32">
        <f t="shared" si="14"/>
        <v>1.824552924117917E-2</v>
      </c>
      <c r="FC16" s="32">
        <f t="shared" si="14"/>
        <v>2.1083242457288209E-2</v>
      </c>
      <c r="FD16" s="32">
        <f t="shared" si="14"/>
        <v>2.1541812900883528E-2</v>
      </c>
      <c r="FE16" s="32">
        <f t="shared" si="14"/>
        <v>1.8458197611292082E-2</v>
      </c>
      <c r="FF16" s="32">
        <f t="shared" si="14"/>
        <v>2.4099289070972363E-2</v>
      </c>
      <c r="FG16" s="32">
        <f t="shared" si="14"/>
        <v>2.3632437619961699E-2</v>
      </c>
      <c r="FH16" s="32">
        <f t="shared" si="14"/>
        <v>1.8283938814531497E-2</v>
      </c>
      <c r="FI16" s="32">
        <f t="shared" si="14"/>
        <v>1.5873015873015817E-2</v>
      </c>
      <c r="FJ16" s="32">
        <f t="shared" si="14"/>
        <v>1.7904034375745947E-2</v>
      </c>
      <c r="FK16" s="32">
        <f t="shared" si="14"/>
        <v>1.6829792313201253E-2</v>
      </c>
      <c r="FL16" s="32">
        <f t="shared" si="14"/>
        <v>1.6789711836151522E-2</v>
      </c>
      <c r="FM16" s="32">
        <f t="shared" si="14"/>
        <v>1.8897076301402471E-2</v>
      </c>
      <c r="FN16" s="32">
        <f t="shared" si="14"/>
        <v>1.7918594992286652E-2</v>
      </c>
      <c r="FO16" s="32">
        <f t="shared" si="14"/>
        <v>1.6613266880265876E-2</v>
      </c>
      <c r="FP16" s="32">
        <f t="shared" si="14"/>
        <v>1.5993365714962682E-2</v>
      </c>
      <c r="FQ16" s="32">
        <f t="shared" si="14"/>
        <v>1.4096185737976663E-2</v>
      </c>
      <c r="FR16" s="32">
        <f t="shared" si="14"/>
        <v>1.1413107424402824E-2</v>
      </c>
      <c r="FS16" s="32">
        <f t="shared" si="14"/>
        <v>1.1367631548107271E-2</v>
      </c>
      <c r="FT16" s="32">
        <f t="shared" si="14"/>
        <v>1.5491139537612941E-2</v>
      </c>
      <c r="FU16" s="32">
        <f t="shared" si="14"/>
        <v>2.0324248120300537E-2</v>
      </c>
      <c r="FV16" s="32">
        <f t="shared" si="14"/>
        <v>1.8878986866791791E-2</v>
      </c>
      <c r="FW16" s="32">
        <f t="shared" si="14"/>
        <v>1.8312008451696338E-2</v>
      </c>
      <c r="FX16" s="32">
        <f t="shared" si="14"/>
        <v>1.8152008431900679E-2</v>
      </c>
      <c r="FY16" s="32">
        <f t="shared" si="14"/>
        <v>1.5047241339087636E-2</v>
      </c>
      <c r="FZ16" s="32">
        <f t="shared" si="14"/>
        <v>1.7253439030076922E-2</v>
      </c>
      <c r="GA16" s="32">
        <f t="shared" si="14"/>
        <v>1.9026497023462152E-2</v>
      </c>
      <c r="GB16" s="32">
        <f t="shared" si="14"/>
        <v>1.9123134328358216E-2</v>
      </c>
      <c r="GC16" s="32">
        <f t="shared" si="14"/>
        <v>1.5185141922672507E-2</v>
      </c>
      <c r="GD16" s="32">
        <f t="shared" si="14"/>
        <v>1.7449976733364458E-2</v>
      </c>
      <c r="GE16" s="32">
        <f t="shared" si="14"/>
        <v>1.9930475086906041E-2</v>
      </c>
      <c r="GF16" s="32">
        <f t="shared" si="14"/>
        <v>1.9184098000693428E-2</v>
      </c>
      <c r="GG16" s="32">
        <f t="shared" si="14"/>
        <v>1.6119746689694958E-2</v>
      </c>
      <c r="GH16" s="32">
        <f t="shared" si="14"/>
        <v>1.6802854183450178E-2</v>
      </c>
      <c r="GI16" s="32">
        <f t="shared" si="14"/>
        <v>1.6945244956772409E-2</v>
      </c>
      <c r="GJ16" s="32">
        <f t="shared" si="14"/>
        <v>1.8633540372670954E-2</v>
      </c>
      <c r="GK16" s="32">
        <f t="shared" si="14"/>
        <v>2.1719145024132303E-2</v>
      </c>
      <c r="GL16" s="32">
        <f t="shared" si="14"/>
        <v>1.8679807471922993E-2</v>
      </c>
      <c r="GM16" s="32">
        <f t="shared" si="14"/>
        <v>1.6151202749140836E-2</v>
      </c>
      <c r="GN16" s="32">
        <f t="shared" si="14"/>
        <v>1.6247139588100534E-2</v>
      </c>
      <c r="GO16" s="32">
        <f t="shared" si="14"/>
        <v>2.0941203543896059E-2</v>
      </c>
      <c r="GP16" s="32">
        <f t="shared" si="14"/>
        <v>1.840841527555459E-2</v>
      </c>
      <c r="GQ16" s="32">
        <f t="shared" si="14"/>
        <v>1.4882981140649898E-2</v>
      </c>
      <c r="GR16" s="32">
        <f t="shared" si="14"/>
        <v>1.7235514230638405E-2</v>
      </c>
      <c r="GS16" s="32">
        <f t="shared" si="14"/>
        <v>2.1076487252124743E-2</v>
      </c>
      <c r="GT16" s="32">
        <f t="shared" si="14"/>
        <v>1.9807583474816148E-2</v>
      </c>
      <c r="GU16" s="32">
        <f t="shared" si="14"/>
        <v>1.9610065744729122E-2</v>
      </c>
      <c r="GV16" s="32">
        <f t="shared" si="14"/>
        <v>1.9196025293586327E-2</v>
      </c>
      <c r="GW16" s="32">
        <f t="shared" si="14"/>
        <v>1.2821954785738443E-2</v>
      </c>
      <c r="GX16" s="32">
        <f t="shared" si="14"/>
        <v>1.0799865001687392E-2</v>
      </c>
      <c r="GY16" s="32">
        <f t="shared" si="14"/>
        <v>1.4090857851426053E-2</v>
      </c>
      <c r="GZ16" s="32">
        <f t="shared" si="14"/>
        <v>1.5086692186444539E-2</v>
      </c>
      <c r="HA16" s="32">
        <f t="shared" si="14"/>
        <v>1.2622562831060335E-2</v>
      </c>
      <c r="HB16" s="32">
        <f t="shared" si="15"/>
        <v>1.0665768496687988E-2</v>
      </c>
      <c r="HC16" s="32">
        <f t="shared" si="15"/>
        <v>1.2090003358334211E-2</v>
      </c>
      <c r="HD16" s="32">
        <f t="shared" si="15"/>
        <v>1.281908371419016E-2</v>
      </c>
      <c r="HE16" s="32">
        <f t="shared" si="15"/>
        <v>1.0875596493175044E-2</v>
      </c>
      <c r="HF16" s="32">
        <f t="shared" si="15"/>
        <v>1.2208657047724891E-2</v>
      </c>
      <c r="HG16" s="32">
        <f t="shared" si="15"/>
        <v>1.1339633129516358E-2</v>
      </c>
      <c r="HH16" s="32">
        <f t="shared" si="15"/>
        <v>1.1079104808331408E-2</v>
      </c>
      <c r="HI16" s="32">
        <f t="shared" si="15"/>
        <v>1.4325374791782419E-2</v>
      </c>
      <c r="HJ16" s="32">
        <f t="shared" si="15"/>
        <v>1.9254312743461455E-2</v>
      </c>
      <c r="HK16" s="32">
        <f t="shared" si="15"/>
        <v>2.3677189862161052E-2</v>
      </c>
      <c r="HL16" s="32">
        <f t="shared" si="15"/>
        <v>2.528837622005331E-2</v>
      </c>
      <c r="HM16" s="32">
        <f t="shared" si="15"/>
        <v>2.7601558152476446E-2</v>
      </c>
      <c r="HN16" s="32">
        <f t="shared" si="15"/>
        <v>2.7882692734947812E-2</v>
      </c>
      <c r="HO16" s="32">
        <f t="shared" si="15"/>
        <v>3.1301847140803085E-2</v>
      </c>
      <c r="HP16" s="32">
        <f t="shared" si="15"/>
        <v>2.9716046665199336E-2</v>
      </c>
      <c r="HQ16" s="32">
        <f t="shared" si="15"/>
        <v>3.2714897354264805E-2</v>
      </c>
      <c r="HR16" s="32">
        <f t="shared" si="15"/>
        <v>3.5307017543859676E-2</v>
      </c>
      <c r="HS16" s="32">
        <f t="shared" si="15"/>
        <v>3.5616137188083874E-2</v>
      </c>
      <c r="HT16" s="32">
        <f t="shared" si="15"/>
        <v>3.1886916502301021E-2</v>
      </c>
      <c r="HU16" s="32">
        <f t="shared" si="15"/>
        <v>3.0326253558134342E-2</v>
      </c>
      <c r="HV16" s="32">
        <f t="shared" si="15"/>
        <v>2.6970954356846377E-2</v>
      </c>
      <c r="HW16" s="32">
        <f t="shared" si="15"/>
        <v>1.6397002931914262E-2</v>
      </c>
      <c r="HX16" s="32">
        <f t="shared" si="15"/>
        <v>1.0060579835569072E-2</v>
      </c>
      <c r="HY16" s="32">
        <f t="shared" si="15"/>
        <v>7.0399653417092534E-3</v>
      </c>
      <c r="HZ16" s="32">
        <f t="shared" si="15"/>
        <v>8.7539176483302228E-3</v>
      </c>
      <c r="IA16" s="32">
        <f t="shared" si="15"/>
        <v>3.0030030030030463E-3</v>
      </c>
      <c r="IB16" s="32">
        <f t="shared" si="15"/>
        <v>1.0688328345445086E-3</v>
      </c>
      <c r="IC16" s="32">
        <f t="shared" si="15"/>
        <v>-2.7638992239820137E-3</v>
      </c>
      <c r="ID16" s="32">
        <f t="shared" si="15"/>
        <v>-5.1895784791357036E-3</v>
      </c>
      <c r="IE16" s="32">
        <f t="shared" si="15"/>
        <v>-7.5363549517035722E-3</v>
      </c>
      <c r="IF16" s="32">
        <f t="shared" si="15"/>
        <v>-1.9114367633005225E-3</v>
      </c>
      <c r="IG16" s="32">
        <f t="shared" si="15"/>
        <v>-3.719052172988957E-3</v>
      </c>
      <c r="IH16" s="32">
        <f t="shared" si="15"/>
        <v>-2.1265284423179764E-3</v>
      </c>
      <c r="II16" s="32">
        <f t="shared" si="15"/>
        <v>3.3119658119658002E-3</v>
      </c>
      <c r="IJ16" s="32">
        <f t="shared" si="15"/>
        <v>8.2467602013494012E-3</v>
      </c>
      <c r="IK16" s="32">
        <f t="shared" si="15"/>
        <v>1.0109701010970085E-2</v>
      </c>
      <c r="IL16" s="32">
        <f t="shared" si="15"/>
        <v>1.1892007713734776E-2</v>
      </c>
      <c r="IM16" s="32">
        <f t="shared" si="15"/>
        <v>1.4970059880239583E-2</v>
      </c>
      <c r="IN16" s="32">
        <f t="shared" si="15"/>
        <v>1.6228913089899821E-2</v>
      </c>
      <c r="IO16" s="32">
        <f t="shared" si="15"/>
        <v>1.5669971218420287E-2</v>
      </c>
      <c r="IP16" s="32">
        <f t="shared" si="15"/>
        <v>1.4265942723304503E-2</v>
      </c>
      <c r="IQ16" s="32">
        <f t="shared" si="15"/>
        <v>1.6042780748663166E-2</v>
      </c>
      <c r="IR16" s="32">
        <f t="shared" si="15"/>
        <v>1.3192892860942829E-2</v>
      </c>
      <c r="IS16" s="32">
        <f t="shared" si="15"/>
        <v>1.482508532423199E-2</v>
      </c>
      <c r="IT16" s="32">
        <f t="shared" si="15"/>
        <v>1.5237080447522811E-2</v>
      </c>
      <c r="IU16" s="32">
        <f t="shared" si="15"/>
        <v>1.5014375465871588E-2</v>
      </c>
      <c r="IV16" s="32">
        <f t="shared" si="15"/>
        <v>1.6995963458678487E-2</v>
      </c>
      <c r="IW16" s="32">
        <f t="shared" si="15"/>
        <v>1.6929301533219698E-2</v>
      </c>
      <c r="IX16" s="32">
        <f t="shared" si="15"/>
        <v>1.6093170989941674E-2</v>
      </c>
      <c r="IY16" s="32">
        <f t="shared" si="15"/>
        <v>1.9384745048461882E-2</v>
      </c>
      <c r="IZ16" s="32">
        <f t="shared" si="15"/>
        <v>2.0172305106114674E-2</v>
      </c>
      <c r="JA16" s="32">
        <f t="shared" si="15"/>
        <v>1.9731318219983196E-2</v>
      </c>
      <c r="JB16" s="32">
        <f t="shared" si="15"/>
        <v>2.0573108008817176E-2</v>
      </c>
      <c r="JC16" s="32">
        <f t="shared" si="15"/>
        <v>1.8842105263157993E-2</v>
      </c>
      <c r="JD16" s="32">
        <f t="shared" si="15"/>
        <v>2.1841856557807349E-2</v>
      </c>
      <c r="JE16" s="32">
        <f t="shared" si="15"/>
        <v>2.186022070415139E-2</v>
      </c>
      <c r="JF16" s="32">
        <f t="shared" si="15"/>
        <v>2.2460117548278813E-2</v>
      </c>
      <c r="JG16" s="32">
        <f t="shared" si="15"/>
        <v>2.4339068401175057E-2</v>
      </c>
      <c r="JH16" s="32">
        <f t="shared" si="15"/>
        <v>2.402339669939435E-2</v>
      </c>
      <c r="JI16" s="32">
        <f t="shared" si="15"/>
        <v>2.2720134017380378E-2</v>
      </c>
      <c r="JJ16" s="32">
        <f t="shared" si="15"/>
        <v>2.209023653224973E-2</v>
      </c>
      <c r="JK16" s="32">
        <f t="shared" si="15"/>
        <v>2.2426622571310562E-2</v>
      </c>
      <c r="JL16" s="32">
        <f t="shared" si="15"/>
        <v>2.0185375901133007E-2</v>
      </c>
      <c r="JM16" s="32">
        <f t="shared" si="15"/>
        <v>1.8937834499794137E-2</v>
      </c>
      <c r="JN16" s="32">
        <f t="shared" si="16"/>
        <v>1.861565360485451E-2</v>
      </c>
      <c r="JO16" s="32">
        <f t="shared" si="16"/>
        <v>1.8700278954437266E-2</v>
      </c>
      <c r="JP16" s="32">
        <f t="shared" si="16"/>
        <v>2.0141814818620762E-2</v>
      </c>
      <c r="JQ16" s="32">
        <f t="shared" si="16"/>
        <v>1.8307106860022682E-2</v>
      </c>
      <c r="JR16" s="32">
        <f t="shared" si="16"/>
        <v>1.693697392732485E-2</v>
      </c>
      <c r="JS16" s="32">
        <f t="shared" si="16"/>
        <v>1.3006964358869277E-2</v>
      </c>
      <c r="JT16" s="32">
        <f t="shared" si="16"/>
        <v>1.2137902896776742E-2</v>
      </c>
      <c r="JU16" s="32">
        <f t="shared" si="16"/>
        <v>1.0544635544635472E-2</v>
      </c>
      <c r="JV16" s="32">
        <f t="shared" si="16"/>
        <v>9.2771944132938877E-3</v>
      </c>
      <c r="JW16" s="32">
        <f t="shared" si="16"/>
        <v>8.4908521176587648E-3</v>
      </c>
      <c r="JX16" s="32">
        <f t="shared" si="16"/>
        <v>5.6531395114072236E-3</v>
      </c>
      <c r="JY16" s="32">
        <f t="shared" si="16"/>
        <v>6.7676767676767557E-3</v>
      </c>
      <c r="JZ16" s="32">
        <f t="shared" si="16"/>
        <v>8.0775444264942209E-3</v>
      </c>
      <c r="KA16" s="32">
        <f t="shared" si="16"/>
        <v>9.1277890466532341E-3</v>
      </c>
      <c r="KB16" s="32">
        <f t="shared" si="16"/>
        <v>6.749269668580693E-3</v>
      </c>
      <c r="KC16" s="32">
        <f t="shared" si="16"/>
        <v>6.9689930310068426E-3</v>
      </c>
      <c r="KD16" s="32">
        <f t="shared" si="16"/>
        <v>5.0469365095386909E-3</v>
      </c>
      <c r="KE16" s="32">
        <f t="shared" si="16"/>
        <v>6.1672227277322911E-3</v>
      </c>
      <c r="KF16" s="32">
        <f t="shared" si="16"/>
        <v>6.4496624004837244E-3</v>
      </c>
      <c r="KG16" s="32">
        <f t="shared" si="16"/>
        <v>5.5718772160875396E-3</v>
      </c>
      <c r="KH16" s="32">
        <f t="shared" si="16"/>
        <v>7.9797979797979757E-3</v>
      </c>
      <c r="KI16" s="32">
        <f t="shared" si="16"/>
        <v>4.8110654505362227E-3</v>
      </c>
      <c r="KJ16" s="32">
        <f t="shared" si="16"/>
        <v>5.822124071471535E-3</v>
      </c>
      <c r="KK16" s="32">
        <f t="shared" si="16"/>
        <v>5.6185411859135392E-3</v>
      </c>
      <c r="KL16" s="32">
        <f t="shared" si="16"/>
        <v>3.5056089743588092E-3</v>
      </c>
      <c r="KM16" s="32">
        <f t="shared" si="16"/>
        <v>3.7185929648242411E-3</v>
      </c>
      <c r="KN16" s="32">
        <f t="shared" si="16"/>
        <v>3.7022213327997378E-3</v>
      </c>
      <c r="KO16" s="32">
        <f t="shared" si="16"/>
        <v>2.2066198595787068E-3</v>
      </c>
      <c r="KP16" s="32">
        <f t="shared" si="16"/>
        <v>3.8164105654314717E-3</v>
      </c>
      <c r="KQ16" s="32">
        <f t="shared" si="16"/>
        <v>2.612540192926005E-3</v>
      </c>
      <c r="KR16" s="32">
        <f t="shared" si="16"/>
        <v>-1.0013016922005846E-4</v>
      </c>
      <c r="KS16" s="32">
        <f t="shared" si="16"/>
        <v>-4.1305661898046742E-3</v>
      </c>
      <c r="KT16" s="32">
        <f t="shared" si="16"/>
        <v>-2.8058923739854302E-3</v>
      </c>
      <c r="KU16" s="32">
        <f t="shared" si="16"/>
        <v>-7.9800498753113125E-4</v>
      </c>
      <c r="KV16" s="32">
        <f t="shared" si="16"/>
        <v>8.982035928144505E-4</v>
      </c>
      <c r="KW16" s="32">
        <f t="shared" si="16"/>
        <v>2.993115833582749E-3</v>
      </c>
      <c r="KX16" s="32">
        <f t="shared" si="16"/>
        <v>2.59506936820042E-3</v>
      </c>
      <c r="KY16" s="32">
        <f t="shared" si="16"/>
        <v>1.6020827075198252E-3</v>
      </c>
      <c r="KZ16" s="32">
        <f t="shared" si="16"/>
        <v>4.9845479015053762E-4</v>
      </c>
      <c r="LA16" s="32">
        <f t="shared" si="16"/>
        <v>3.0024019215368902E-4</v>
      </c>
      <c r="LB16" s="32">
        <f t="shared" si="16"/>
        <v>6.0030015007495052E-4</v>
      </c>
      <c r="LC16" s="32">
        <f t="shared" si="16"/>
        <v>3.0066145520146748E-4</v>
      </c>
      <c r="LD16" s="32">
        <f t="shared" si="16"/>
        <v>1.8025235329461875E-3</v>
      </c>
      <c r="LE16" s="32">
        <f t="shared" si="16"/>
        <v>2.2255943348508112E-3</v>
      </c>
      <c r="LF16" s="32">
        <f t="shared" si="16"/>
        <v>-1.909355843633942E-3</v>
      </c>
      <c r="LG16" s="32">
        <f t="shared" si="16"/>
        <v>-1.497454327643033E-3</v>
      </c>
      <c r="LH16" s="32">
        <f t="shared" si="16"/>
        <v>-1.9942167713630221E-3</v>
      </c>
      <c r="LI16" s="32">
        <f t="shared" si="16"/>
        <v>-1.989455883815161E-4</v>
      </c>
      <c r="LJ16" s="32">
        <f t="shared" si="16"/>
        <v>1.891488302638189E-3</v>
      </c>
      <c r="LK16" s="32">
        <f t="shared" si="16"/>
        <v>2.2993102069379656E-3</v>
      </c>
      <c r="LL16" s="32">
        <f t="shared" si="16"/>
        <v>2.2917497010761512E-3</v>
      </c>
      <c r="LM16" s="32">
        <f t="shared" si="16"/>
        <v>4.0020010005001883E-3</v>
      </c>
      <c r="LN16" s="32">
        <f t="shared" si="16"/>
        <v>3.5996400359963321E-3</v>
      </c>
      <c r="LO16" s="32">
        <f t="shared" si="16"/>
        <v>5.5104698927963547E-3</v>
      </c>
      <c r="LP16" s="32">
        <f t="shared" si="16"/>
        <v>6.1975209916032004E-3</v>
      </c>
      <c r="LQ16" s="32">
        <f t="shared" si="16"/>
        <v>1.3525789845563851E-2</v>
      </c>
      <c r="LR16" s="32">
        <f t="shared" si="16"/>
        <v>1.2082158679017407E-2</v>
      </c>
      <c r="LS16" s="32">
        <f t="shared" si="16"/>
        <v>1.1197760447910543E-2</v>
      </c>
      <c r="LT16" s="32">
        <f t="shared" si="16"/>
        <v>1.138974922569691E-2</v>
      </c>
      <c r="LU16" s="32">
        <f t="shared" si="16"/>
        <v>7.6609292607701107E-3</v>
      </c>
      <c r="LV16" s="32">
        <f t="shared" si="16"/>
        <v>6.558028616852063E-3</v>
      </c>
      <c r="LW16" s="32">
        <f t="shared" si="16"/>
        <v>6.7823658487931038E-3</v>
      </c>
      <c r="LX16" s="32">
        <f t="shared" si="16"/>
        <v>8.748384531265474E-3</v>
      </c>
      <c r="LY16" s="32">
        <f t="shared" si="16"/>
        <v>9.4668659691081736E-3</v>
      </c>
      <c r="LZ16" s="32">
        <f t="shared" si="17"/>
        <v>1.0262030487197427E-2</v>
      </c>
      <c r="MA16" s="32">
        <f t="shared" si="17"/>
        <v>1.106018333997616E-2</v>
      </c>
      <c r="MB16" s="32">
        <f t="shared" si="17"/>
        <v>1.0927876018279381E-2</v>
      </c>
      <c r="MC16" s="32">
        <f t="shared" si="17"/>
        <v>1.2548550941141379E-2</v>
      </c>
      <c r="MD16" s="32">
        <f t="shared" si="17"/>
        <v>1.1142061281337101E-2</v>
      </c>
      <c r="ME16" s="32">
        <f t="shared" si="17"/>
        <v>1.265572473798704E-2</v>
      </c>
      <c r="MF16" s="32">
        <f t="shared" si="17"/>
        <v>1.3434752543712403E-2</v>
      </c>
      <c r="MG16" s="32">
        <f t="shared" si="17"/>
        <v>1.7575039494470701E-2</v>
      </c>
      <c r="MH16" s="32">
        <f t="shared" si="17"/>
        <v>1.7472852912142178E-2</v>
      </c>
      <c r="MI16" s="32">
        <f t="shared" si="17"/>
        <v>2.0011888250445864E-2</v>
      </c>
      <c r="MJ16" s="32">
        <f t="shared" si="17"/>
        <v>1.9808810485858031E-2</v>
      </c>
      <c r="MK16" s="32">
        <f t="shared" si="17"/>
        <v>1.9249753208292253E-2</v>
      </c>
      <c r="ML16" s="32">
        <f t="shared" si="17"/>
        <v>1.942800788954635E-2</v>
      </c>
      <c r="MM16" s="32">
        <f t="shared" si="17"/>
        <v>1.6458066423573392E-2</v>
      </c>
      <c r="MN16" s="32">
        <f t="shared" si="17"/>
        <v>1.3757861635220081E-2</v>
      </c>
      <c r="MO16" s="32">
        <f t="shared" si="17"/>
        <v>9.8357430903903698E-3</v>
      </c>
      <c r="MP16" s="32">
        <f t="shared" si="17"/>
        <v>1.0724124360488085E-2</v>
      </c>
      <c r="MQ16" s="32">
        <f t="shared" si="17"/>
        <v>9.8613552040618391E-3</v>
      </c>
      <c r="MR16" s="32">
        <f t="shared" si="17"/>
        <v>1.1404620333365756E-2</v>
      </c>
      <c r="MS16" s="32">
        <f t="shared" si="17"/>
        <v>7.7624684649717501E-3</v>
      </c>
      <c r="MT16" s="32">
        <f t="shared" si="17"/>
        <v>1.0187251382555607E-2</v>
      </c>
      <c r="MU16" s="32">
        <f t="shared" si="17"/>
        <v>9.2268842268843354E-3</v>
      </c>
      <c r="MV16" s="32">
        <f t="shared" si="17"/>
        <v>8.8906068805565397E-3</v>
      </c>
      <c r="MW16" s="32">
        <f t="shared" si="17"/>
        <v>7.6513317191284624E-3</v>
      </c>
      <c r="MX16" s="32">
        <f t="shared" si="17"/>
        <v>5.997871722936976E-3</v>
      </c>
      <c r="MY16" s="32">
        <f t="shared" si="17"/>
        <v>7.5625363583478045E-3</v>
      </c>
      <c r="MZ16" s="32">
        <f t="shared" si="17"/>
        <v>1.1923226056611114E-2</v>
      </c>
      <c r="NA16" s="32">
        <f t="shared" si="17"/>
        <v>1.236972825557614E-2</v>
      </c>
      <c r="NB16" s="32">
        <f t="shared" si="17"/>
        <v>1.1681105811350179E-2</v>
      </c>
      <c r="NC16" s="32">
        <f t="shared" si="17"/>
        <v>4.0607173934059659E-3</v>
      </c>
      <c r="ND16" s="32">
        <f t="shared" si="17"/>
        <v>4.8188126445647406E-4</v>
      </c>
      <c r="NE16" s="32">
        <f t="shared" si="17"/>
        <v>8.6655112651645716E-4</v>
      </c>
      <c r="NF16" s="32">
        <f t="shared" si="17"/>
        <v>-7.6834421820970444E-4</v>
      </c>
      <c r="NG16" s="32">
        <f t="shared" si="17"/>
        <v>5.1005677990569875E-3</v>
      </c>
      <c r="NH16" s="32">
        <f t="shared" si="17"/>
        <v>-5.7471264367814356E-4</v>
      </c>
      <c r="NI16" s="32">
        <f t="shared" si="17"/>
        <v>-2.3068050749712743E-3</v>
      </c>
      <c r="NJ16" s="32">
        <f t="shared" si="17"/>
        <v>-2.3079142225213012E-3</v>
      </c>
      <c r="NK16" s="32">
        <f t="shared" si="17"/>
        <v>-5.773672055428003E-4</v>
      </c>
      <c r="NL16" s="32">
        <f t="shared" si="17"/>
        <v>-2.8738384902767811E-3</v>
      </c>
      <c r="NM16" s="32">
        <f t="shared" si="17"/>
        <v>2.886280546469111E-3</v>
      </c>
      <c r="NN16" s="32">
        <f t="shared" si="17"/>
        <v>2.9827768690464662E-3</v>
      </c>
      <c r="NO16" s="32">
        <f t="shared" si="17"/>
        <v>1.0014443909484916E-2</v>
      </c>
      <c r="NP16" s="32">
        <f t="shared" si="17"/>
        <v>1.1463250168577188E-2</v>
      </c>
      <c r="NQ16" s="32">
        <f t="shared" si="17"/>
        <v>1.3371813371813479E-2</v>
      </c>
      <c r="NR16" s="32">
        <f t="shared" si="17"/>
        <v>1.384083044982698E-2</v>
      </c>
      <c r="NS16" s="32">
        <f t="shared" si="17"/>
        <v>1.062811183454615E-2</v>
      </c>
      <c r="NT16" s="32">
        <f t="shared" si="17"/>
        <v>1.7922177496645597E-2</v>
      </c>
      <c r="NU16" s="32">
        <f t="shared" si="17"/>
        <v>2.0905587668593517E-2</v>
      </c>
      <c r="NV16" s="32">
        <f t="shared" si="17"/>
        <v>2.5734939759036068E-2</v>
      </c>
      <c r="NW16" s="32">
        <f t="shared" si="17"/>
        <v>2.849990371654143E-2</v>
      </c>
      <c r="NX16" s="32">
        <f t="shared" si="17"/>
        <v>2.8244788164088819E-2</v>
      </c>
      <c r="NY16" s="32">
        <f t="shared" si="17"/>
        <v>2.9355333844973241E-2</v>
      </c>
      <c r="NZ16" s="32">
        <f t="shared" si="17"/>
        <v>3.7413660782809055E-2</v>
      </c>
      <c r="OA16" s="32">
        <f t="shared" si="17"/>
        <v>4.5857565068166739E-2</v>
      </c>
    </row>
    <row r="17" spans="1:395" ht="22.8" x14ac:dyDescent="0.3">
      <c r="A17" s="26" t="s">
        <v>441</v>
      </c>
      <c r="B17" s="26" t="s">
        <v>442</v>
      </c>
      <c r="C17" s="26" t="s">
        <v>413</v>
      </c>
      <c r="D17" s="26" t="s">
        <v>414</v>
      </c>
      <c r="E17" s="31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 t="e">
        <f t="shared" si="18"/>
        <v>#VALUE!</v>
      </c>
      <c r="R17" s="32" t="e">
        <f t="shared" si="12"/>
        <v>#VALUE!</v>
      </c>
      <c r="S17" s="32" t="e">
        <f t="shared" si="12"/>
        <v>#VALUE!</v>
      </c>
      <c r="T17" s="32" t="e">
        <f t="shared" si="12"/>
        <v>#VALUE!</v>
      </c>
      <c r="U17" s="32" t="e">
        <f t="shared" si="12"/>
        <v>#VALUE!</v>
      </c>
      <c r="V17" s="32" t="e">
        <f t="shared" si="12"/>
        <v>#VALUE!</v>
      </c>
      <c r="W17" s="32" t="e">
        <f t="shared" si="12"/>
        <v>#VALUE!</v>
      </c>
      <c r="X17" s="32" t="e">
        <f t="shared" si="12"/>
        <v>#VALUE!</v>
      </c>
      <c r="Y17" s="32" t="e">
        <f t="shared" si="12"/>
        <v>#VALUE!</v>
      </c>
      <c r="Z17" s="32" t="e">
        <f t="shared" si="12"/>
        <v>#VALUE!</v>
      </c>
      <c r="AA17" s="32" t="e">
        <f t="shared" si="12"/>
        <v>#VALUE!</v>
      </c>
      <c r="AB17" s="32" t="e">
        <f t="shared" si="12"/>
        <v>#VALUE!</v>
      </c>
      <c r="AC17" s="32" t="e">
        <f t="shared" si="12"/>
        <v>#VALUE!</v>
      </c>
      <c r="AD17" s="32" t="e">
        <f t="shared" si="12"/>
        <v>#VALUE!</v>
      </c>
      <c r="AE17" s="32" t="e">
        <f t="shared" si="12"/>
        <v>#VALUE!</v>
      </c>
      <c r="AF17" s="32" t="e">
        <f t="shared" si="12"/>
        <v>#VALUE!</v>
      </c>
      <c r="AG17" s="32" t="e">
        <f t="shared" si="12"/>
        <v>#VALUE!</v>
      </c>
      <c r="AH17" s="32" t="e">
        <f t="shared" si="12"/>
        <v>#VALUE!</v>
      </c>
      <c r="AI17" s="32" t="e">
        <f t="shared" si="12"/>
        <v>#VALUE!</v>
      </c>
      <c r="AJ17" s="32" t="e">
        <f t="shared" si="12"/>
        <v>#VALUE!</v>
      </c>
      <c r="AK17" s="32" t="e">
        <f t="shared" si="12"/>
        <v>#VALUE!</v>
      </c>
      <c r="AL17" s="32" t="e">
        <f t="shared" si="12"/>
        <v>#VALUE!</v>
      </c>
      <c r="AM17" s="32" t="e">
        <f t="shared" si="12"/>
        <v>#VALUE!</v>
      </c>
      <c r="AN17" s="32" t="e">
        <f t="shared" si="12"/>
        <v>#VALUE!</v>
      </c>
      <c r="AO17" s="32" t="e">
        <f t="shared" si="12"/>
        <v>#VALUE!</v>
      </c>
      <c r="AP17" s="32" t="e">
        <f t="shared" si="12"/>
        <v>#VALUE!</v>
      </c>
      <c r="AQ17" s="32" t="e">
        <f t="shared" si="12"/>
        <v>#VALUE!</v>
      </c>
      <c r="AR17" s="32" t="e">
        <f t="shared" si="12"/>
        <v>#VALUE!</v>
      </c>
      <c r="AS17" s="32" t="e">
        <f t="shared" si="12"/>
        <v>#VALUE!</v>
      </c>
      <c r="AT17" s="32" t="e">
        <f t="shared" si="12"/>
        <v>#VALUE!</v>
      </c>
      <c r="AU17" s="32" t="e">
        <f t="shared" si="12"/>
        <v>#VALUE!</v>
      </c>
      <c r="AV17" s="32" t="e">
        <f t="shared" si="12"/>
        <v>#VALUE!</v>
      </c>
      <c r="AW17" s="32" t="e">
        <f t="shared" si="12"/>
        <v>#VALUE!</v>
      </c>
      <c r="AX17" s="32" t="e">
        <f t="shared" si="12"/>
        <v>#VALUE!</v>
      </c>
      <c r="AY17" s="32" t="e">
        <f t="shared" si="12"/>
        <v>#VALUE!</v>
      </c>
      <c r="AZ17" s="32" t="e">
        <f t="shared" si="12"/>
        <v>#VALUE!</v>
      </c>
      <c r="BA17" s="32" t="e">
        <f t="shared" si="12"/>
        <v>#VALUE!</v>
      </c>
      <c r="BB17" s="32" t="e">
        <f t="shared" si="12"/>
        <v>#VALUE!</v>
      </c>
      <c r="BC17" s="32" t="e">
        <f t="shared" si="12"/>
        <v>#VALUE!</v>
      </c>
      <c r="BD17" s="32" t="e">
        <f t="shared" si="12"/>
        <v>#VALUE!</v>
      </c>
      <c r="BE17" s="32" t="e">
        <f t="shared" si="12"/>
        <v>#VALUE!</v>
      </c>
      <c r="BF17" s="32" t="e">
        <f t="shared" si="12"/>
        <v>#VALUE!</v>
      </c>
      <c r="BG17" s="32" t="e">
        <f t="shared" si="12"/>
        <v>#VALUE!</v>
      </c>
      <c r="BH17" s="32" t="e">
        <f t="shared" si="12"/>
        <v>#VALUE!</v>
      </c>
      <c r="BI17" s="32" t="e">
        <f t="shared" si="12"/>
        <v>#VALUE!</v>
      </c>
      <c r="BJ17" s="32" t="e">
        <f t="shared" si="12"/>
        <v>#VALUE!</v>
      </c>
      <c r="BK17" s="32" t="e">
        <f t="shared" si="12"/>
        <v>#VALUE!</v>
      </c>
      <c r="BL17" s="32" t="e">
        <f t="shared" si="12"/>
        <v>#VALUE!</v>
      </c>
      <c r="BM17" s="32" t="e">
        <f t="shared" si="12"/>
        <v>#VALUE!</v>
      </c>
      <c r="BN17" s="32" t="e">
        <f t="shared" si="12"/>
        <v>#VALUE!</v>
      </c>
      <c r="BO17" s="32" t="e">
        <f t="shared" si="12"/>
        <v>#VALUE!</v>
      </c>
      <c r="BP17" s="32" t="e">
        <f t="shared" si="12"/>
        <v>#VALUE!</v>
      </c>
      <c r="BQ17" s="32" t="e">
        <f t="shared" si="12"/>
        <v>#VALUE!</v>
      </c>
      <c r="BR17" s="32" t="e">
        <f t="shared" si="12"/>
        <v>#VALUE!</v>
      </c>
      <c r="BS17" s="32" t="e">
        <f t="shared" si="12"/>
        <v>#VALUE!</v>
      </c>
      <c r="BT17" s="32" t="e">
        <f t="shared" si="12"/>
        <v>#VALUE!</v>
      </c>
      <c r="BU17" s="32" t="e">
        <f t="shared" si="12"/>
        <v>#VALUE!</v>
      </c>
      <c r="BV17" s="32" t="e">
        <f t="shared" si="12"/>
        <v>#VALUE!</v>
      </c>
      <c r="BW17" s="32" t="e">
        <f t="shared" si="12"/>
        <v>#VALUE!</v>
      </c>
      <c r="BX17" s="32" t="e">
        <f t="shared" si="12"/>
        <v>#VALUE!</v>
      </c>
      <c r="BY17" s="32" t="e">
        <f t="shared" si="12"/>
        <v>#VALUE!</v>
      </c>
      <c r="BZ17" s="32" t="e">
        <f t="shared" si="12"/>
        <v>#VALUE!</v>
      </c>
      <c r="CA17" s="32" t="e">
        <f t="shared" si="12"/>
        <v>#VALUE!</v>
      </c>
      <c r="CB17" s="32" t="e">
        <f t="shared" si="12"/>
        <v>#VALUE!</v>
      </c>
      <c r="CC17" s="32" t="e">
        <f t="shared" ref="CC17" si="19">CC5/BQ5-1</f>
        <v>#VALUE!</v>
      </c>
      <c r="CD17" s="32" t="e">
        <f t="shared" si="13"/>
        <v>#VALUE!</v>
      </c>
      <c r="CE17" s="32" t="e">
        <f t="shared" si="13"/>
        <v>#VALUE!</v>
      </c>
      <c r="CF17" s="32" t="e">
        <f t="shared" si="13"/>
        <v>#VALUE!</v>
      </c>
      <c r="CG17" s="32" t="e">
        <f t="shared" si="13"/>
        <v>#VALUE!</v>
      </c>
      <c r="CH17" s="32" t="e">
        <f t="shared" si="13"/>
        <v>#VALUE!</v>
      </c>
      <c r="CI17" s="32" t="e">
        <f t="shared" si="13"/>
        <v>#VALUE!</v>
      </c>
      <c r="CJ17" s="32" t="e">
        <f t="shared" si="13"/>
        <v>#VALUE!</v>
      </c>
      <c r="CK17" s="32" t="e">
        <f t="shared" si="13"/>
        <v>#VALUE!</v>
      </c>
      <c r="CL17" s="32" t="e">
        <f t="shared" si="13"/>
        <v>#VALUE!</v>
      </c>
      <c r="CM17" s="32" t="e">
        <f t="shared" si="13"/>
        <v>#VALUE!</v>
      </c>
      <c r="CN17" s="32" t="e">
        <f t="shared" si="13"/>
        <v>#VALUE!</v>
      </c>
      <c r="CO17" s="32" t="e">
        <f t="shared" si="13"/>
        <v>#VALUE!</v>
      </c>
      <c r="CP17" s="32" t="e">
        <f t="shared" si="13"/>
        <v>#VALUE!</v>
      </c>
      <c r="CQ17" s="32" t="e">
        <f t="shared" si="13"/>
        <v>#VALUE!</v>
      </c>
      <c r="CR17" s="32" t="e">
        <f t="shared" si="13"/>
        <v>#VALUE!</v>
      </c>
      <c r="CS17" s="32" t="e">
        <f t="shared" si="13"/>
        <v>#VALUE!</v>
      </c>
      <c r="CT17" s="32" t="e">
        <f t="shared" si="13"/>
        <v>#VALUE!</v>
      </c>
      <c r="CU17" s="32" t="e">
        <f t="shared" si="13"/>
        <v>#VALUE!</v>
      </c>
      <c r="CV17" s="32" t="e">
        <f t="shared" si="13"/>
        <v>#VALUE!</v>
      </c>
      <c r="CW17" s="32" t="e">
        <f t="shared" si="13"/>
        <v>#VALUE!</v>
      </c>
      <c r="CX17" s="32" t="e">
        <f t="shared" si="13"/>
        <v>#VALUE!</v>
      </c>
      <c r="CY17" s="32" t="e">
        <f t="shared" si="13"/>
        <v>#VALUE!</v>
      </c>
      <c r="CZ17" s="32" t="e">
        <f t="shared" si="13"/>
        <v>#VALUE!</v>
      </c>
      <c r="DA17" s="32" t="e">
        <f t="shared" si="13"/>
        <v>#VALUE!</v>
      </c>
      <c r="DB17" s="32" t="e">
        <f t="shared" si="13"/>
        <v>#VALUE!</v>
      </c>
      <c r="DC17" s="32" t="e">
        <f t="shared" si="13"/>
        <v>#VALUE!</v>
      </c>
      <c r="DD17" s="32" t="e">
        <f t="shared" si="13"/>
        <v>#VALUE!</v>
      </c>
      <c r="DE17" s="32" t="e">
        <f t="shared" si="13"/>
        <v>#VALUE!</v>
      </c>
      <c r="DF17" s="32" t="e">
        <f t="shared" si="13"/>
        <v>#VALUE!</v>
      </c>
      <c r="DG17" s="32" t="e">
        <f t="shared" si="13"/>
        <v>#VALUE!</v>
      </c>
      <c r="DH17" s="32" t="e">
        <f t="shared" si="13"/>
        <v>#VALUE!</v>
      </c>
      <c r="DI17" s="32">
        <f t="shared" si="13"/>
        <v>3.7773860488532485E-4</v>
      </c>
      <c r="DJ17" s="32">
        <f t="shared" si="13"/>
        <v>-2.508466072997928E-4</v>
      </c>
      <c r="DK17" s="32">
        <f t="shared" si="13"/>
        <v>1.5024414673843189E-3</v>
      </c>
      <c r="DL17" s="32">
        <f t="shared" si="13"/>
        <v>2.3741097088592067E-3</v>
      </c>
      <c r="DM17" s="32">
        <f t="shared" si="13"/>
        <v>2.1236727045597092E-3</v>
      </c>
      <c r="DN17" s="32">
        <f t="shared" si="13"/>
        <v>1.2482836100360384E-3</v>
      </c>
      <c r="DO17" s="32">
        <f t="shared" si="13"/>
        <v>2.1300588898633954E-3</v>
      </c>
      <c r="DP17" s="32">
        <f t="shared" si="13"/>
        <v>3.2561051972448407E-3</v>
      </c>
      <c r="DQ17" s="32">
        <f t="shared" si="13"/>
        <v>5.3877960155368498E-3</v>
      </c>
      <c r="DR17" s="32">
        <f t="shared" si="13"/>
        <v>7.0228241785803558E-3</v>
      </c>
      <c r="DS17" s="32">
        <f t="shared" si="13"/>
        <v>8.1576305220882883E-3</v>
      </c>
      <c r="DT17" s="32">
        <f t="shared" si="13"/>
        <v>1.178387865112196E-2</v>
      </c>
      <c r="DU17" s="32">
        <f t="shared" si="13"/>
        <v>1.5733165512901159E-2</v>
      </c>
      <c r="DV17" s="32">
        <f t="shared" si="13"/>
        <v>1.3674570317400603E-2</v>
      </c>
      <c r="DW17" s="32">
        <f t="shared" si="13"/>
        <v>1.5126890861357767E-2</v>
      </c>
      <c r="DX17" s="32">
        <f t="shared" si="13"/>
        <v>1.221640488656206E-2</v>
      </c>
      <c r="DY17" s="32">
        <f t="shared" si="13"/>
        <v>1.4335577162802426E-2</v>
      </c>
      <c r="DZ17" s="32">
        <f t="shared" si="13"/>
        <v>1.720483730208211E-2</v>
      </c>
      <c r="EA17" s="32">
        <f t="shared" si="13"/>
        <v>1.825456364091016E-2</v>
      </c>
      <c r="EB17" s="32">
        <f t="shared" si="13"/>
        <v>1.8599425789539215E-2</v>
      </c>
      <c r="EC17" s="32">
        <f t="shared" si="13"/>
        <v>2.243270189431712E-2</v>
      </c>
      <c r="ED17" s="32">
        <f t="shared" si="13"/>
        <v>2.0423412204234159E-2</v>
      </c>
      <c r="EE17" s="32">
        <f t="shared" si="13"/>
        <v>2.2407568778787468E-2</v>
      </c>
      <c r="EF17" s="32">
        <f t="shared" si="13"/>
        <v>1.7098253004584452E-2</v>
      </c>
      <c r="EG17" s="32">
        <f t="shared" si="13"/>
        <v>1.2143742255266377E-2</v>
      </c>
      <c r="EH17" s="32">
        <f t="shared" si="13"/>
        <v>1.3613861386138737E-2</v>
      </c>
      <c r="EI17" s="32">
        <f t="shared" si="13"/>
        <v>1.342364532019702E-2</v>
      </c>
      <c r="EJ17" s="32">
        <f t="shared" si="13"/>
        <v>1.8596059113300312E-2</v>
      </c>
      <c r="EK17" s="32">
        <f t="shared" si="13"/>
        <v>2.3227233624185883E-2</v>
      </c>
      <c r="EL17" s="32">
        <f t="shared" si="13"/>
        <v>2.1081014830248712E-2</v>
      </c>
      <c r="EM17" s="32">
        <f t="shared" si="13"/>
        <v>2.0628683693516781E-2</v>
      </c>
      <c r="EN17" s="32">
        <f t="shared" si="13"/>
        <v>1.8627450980392313E-2</v>
      </c>
      <c r="EO17" s="32">
        <f t="shared" ref="EO17" si="20">EO5/EC5-1</f>
        <v>1.4992686494392782E-2</v>
      </c>
      <c r="EP17" s="32">
        <f t="shared" si="14"/>
        <v>1.671955089089594E-2</v>
      </c>
      <c r="EQ17" s="32">
        <f t="shared" si="14"/>
        <v>1.1323511506148964E-2</v>
      </c>
      <c r="ER17" s="32">
        <f t="shared" si="14"/>
        <v>1.3034474357412451E-2</v>
      </c>
      <c r="ES17" s="32">
        <f t="shared" si="14"/>
        <v>2.1302644466209442E-2</v>
      </c>
      <c r="ET17" s="32">
        <f t="shared" si="14"/>
        <v>1.978021978021971E-2</v>
      </c>
      <c r="EU17" s="32">
        <f t="shared" si="14"/>
        <v>1.9564953214242342E-2</v>
      </c>
      <c r="EV17" s="32">
        <f t="shared" si="14"/>
        <v>1.8256559061782252E-2</v>
      </c>
      <c r="EW17" s="32">
        <f t="shared" si="14"/>
        <v>1.2731203459043883E-2</v>
      </c>
      <c r="EX17" s="32">
        <f t="shared" si="14"/>
        <v>1.188332733165276E-2</v>
      </c>
      <c r="EY17" s="32">
        <f t="shared" si="14"/>
        <v>1.4196342637150972E-2</v>
      </c>
      <c r="EZ17" s="32">
        <f t="shared" si="14"/>
        <v>1.6482194417709151E-2</v>
      </c>
      <c r="FA17" s="32">
        <f t="shared" si="14"/>
        <v>1.6572595172331006E-2</v>
      </c>
      <c r="FB17" s="32">
        <f t="shared" si="14"/>
        <v>1.7524906973952703E-2</v>
      </c>
      <c r="FC17" s="32">
        <f t="shared" si="14"/>
        <v>2.0587527088851365E-2</v>
      </c>
      <c r="FD17" s="32">
        <f t="shared" si="14"/>
        <v>2.1043771043770976E-2</v>
      </c>
      <c r="FE17" s="32">
        <f t="shared" si="14"/>
        <v>1.7741548789259154E-2</v>
      </c>
      <c r="FF17" s="32">
        <f t="shared" si="14"/>
        <v>2.3706896551724199E-2</v>
      </c>
      <c r="FG17" s="32">
        <f t="shared" si="14"/>
        <v>2.3361144219308683E-2</v>
      </c>
      <c r="FH17" s="32">
        <f t="shared" si="14"/>
        <v>1.7691759677036289E-2</v>
      </c>
      <c r="FI17" s="32">
        <f t="shared" si="14"/>
        <v>1.506166982922208E-2</v>
      </c>
      <c r="FJ17" s="32">
        <f t="shared" si="14"/>
        <v>1.7319098457888593E-2</v>
      </c>
      <c r="FK17" s="32">
        <f t="shared" si="14"/>
        <v>1.6132858837485164E-2</v>
      </c>
      <c r="FL17" s="32">
        <f t="shared" si="14"/>
        <v>1.6333293880932853E-2</v>
      </c>
      <c r="FM17" s="32">
        <f t="shared" si="14"/>
        <v>1.8428824571765867E-2</v>
      </c>
      <c r="FN17" s="32">
        <f t="shared" si="14"/>
        <v>1.7459006724076964E-2</v>
      </c>
      <c r="FO17" s="32">
        <f t="shared" si="14"/>
        <v>1.5925445322637843E-2</v>
      </c>
      <c r="FP17" s="32">
        <f t="shared" si="14"/>
        <v>1.531032858320569E-2</v>
      </c>
      <c r="FQ17" s="32">
        <f t="shared" si="14"/>
        <v>1.3427561837455748E-2</v>
      </c>
      <c r="FR17" s="32">
        <f t="shared" si="14"/>
        <v>1.0526315789473717E-2</v>
      </c>
      <c r="FS17" s="32">
        <f t="shared" si="14"/>
        <v>1.0365711623573359E-2</v>
      </c>
      <c r="FT17" s="32">
        <f t="shared" si="14"/>
        <v>1.4817407537043747E-2</v>
      </c>
      <c r="FU17" s="32">
        <f t="shared" si="14"/>
        <v>2.021264166374559E-2</v>
      </c>
      <c r="FV17" s="32">
        <f t="shared" si="14"/>
        <v>1.8540111940298365E-2</v>
      </c>
      <c r="FW17" s="32">
        <f t="shared" si="14"/>
        <v>1.7744571561989275E-2</v>
      </c>
      <c r="FX17" s="32">
        <f t="shared" si="14"/>
        <v>1.7351810876906848E-2</v>
      </c>
      <c r="FY17" s="32">
        <f t="shared" si="14"/>
        <v>1.4151490546340462E-2</v>
      </c>
      <c r="FZ17" s="32">
        <f t="shared" si="14"/>
        <v>1.6347826086956507E-2</v>
      </c>
      <c r="GA17" s="32">
        <f t="shared" si="14"/>
        <v>1.823037621922885E-2</v>
      </c>
      <c r="GB17" s="32">
        <f t="shared" si="14"/>
        <v>1.821134439160188E-2</v>
      </c>
      <c r="GC17" s="32">
        <f t="shared" si="14"/>
        <v>1.4063226406322515E-2</v>
      </c>
      <c r="GD17" s="32">
        <f t="shared" si="14"/>
        <v>1.6319444444444331E-2</v>
      </c>
      <c r="GE17" s="32">
        <f t="shared" si="14"/>
        <v>1.9020172910662936E-2</v>
      </c>
      <c r="GF17" s="32">
        <f t="shared" si="14"/>
        <v>1.8050126465854133E-2</v>
      </c>
      <c r="GG17" s="32">
        <f t="shared" si="14"/>
        <v>1.465872652313327E-2</v>
      </c>
      <c r="GH17" s="32">
        <f t="shared" si="14"/>
        <v>1.5455065827132408E-2</v>
      </c>
      <c r="GI17" s="32">
        <f t="shared" si="14"/>
        <v>1.5599908235833793E-2</v>
      </c>
      <c r="GJ17" s="32">
        <f t="shared" si="14"/>
        <v>1.7513736263736313E-2</v>
      </c>
      <c r="GK17" s="32">
        <f t="shared" si="14"/>
        <v>2.070227610659936E-2</v>
      </c>
      <c r="GL17" s="32">
        <f t="shared" si="14"/>
        <v>1.7796030116358663E-2</v>
      </c>
      <c r="GM17" s="32">
        <f t="shared" si="14"/>
        <v>1.4938989622534038E-2</v>
      </c>
      <c r="GN17" s="32">
        <f t="shared" si="14"/>
        <v>1.5037593984962294E-2</v>
      </c>
      <c r="GO17" s="32">
        <f t="shared" si="14"/>
        <v>1.9942693409741974E-2</v>
      </c>
      <c r="GP17" s="32">
        <f t="shared" si="14"/>
        <v>1.7310101355198615E-2</v>
      </c>
      <c r="GQ17" s="32">
        <f t="shared" si="14"/>
        <v>1.3348416289592713E-2</v>
      </c>
      <c r="GR17" s="32">
        <f t="shared" si="14"/>
        <v>1.6149068322981464E-2</v>
      </c>
      <c r="GS17" s="32">
        <f t="shared" si="14"/>
        <v>2.0203160270880538E-2</v>
      </c>
      <c r="GT17" s="32">
        <f t="shared" si="14"/>
        <v>1.8827508455467878E-2</v>
      </c>
      <c r="GU17" s="32">
        <f t="shared" si="14"/>
        <v>1.8748588208719275E-2</v>
      </c>
      <c r="GV17" s="32">
        <f t="shared" si="14"/>
        <v>1.8224772190347682E-2</v>
      </c>
      <c r="GW17" s="32">
        <f t="shared" si="14"/>
        <v>1.1653966831017604E-2</v>
      </c>
      <c r="GX17" s="32">
        <f t="shared" si="14"/>
        <v>9.302846895314909E-3</v>
      </c>
      <c r="GY17" s="32">
        <f t="shared" si="14"/>
        <v>1.2921348314606895E-2</v>
      </c>
      <c r="GZ17" s="32">
        <f t="shared" si="14"/>
        <v>1.4141414141414232E-2</v>
      </c>
      <c r="HA17" s="32">
        <f t="shared" ref="HA17" si="21">HA5/GO5-1</f>
        <v>1.1349589841555208E-2</v>
      </c>
      <c r="HB17" s="32">
        <f t="shared" si="15"/>
        <v>9.4033359453711274E-3</v>
      </c>
      <c r="HC17" s="32">
        <f t="shared" si="15"/>
        <v>1.1051574012056253E-2</v>
      </c>
      <c r="HD17" s="32">
        <f t="shared" si="15"/>
        <v>1.1446988219604437E-2</v>
      </c>
      <c r="HE17" s="32">
        <f t="shared" si="15"/>
        <v>9.5143268060626784E-3</v>
      </c>
      <c r="HF17" s="32">
        <f t="shared" si="15"/>
        <v>1.0954962930175949E-2</v>
      </c>
      <c r="HG17" s="32">
        <f t="shared" si="15"/>
        <v>9.9778270509975897E-3</v>
      </c>
      <c r="HH17" s="32">
        <f t="shared" si="15"/>
        <v>9.8331676057894501E-3</v>
      </c>
      <c r="HI17" s="32">
        <f t="shared" si="15"/>
        <v>1.318121400088601E-2</v>
      </c>
      <c r="HJ17" s="32">
        <f t="shared" si="15"/>
        <v>1.8434203220432988E-2</v>
      </c>
      <c r="HK17" s="32">
        <f t="shared" si="15"/>
        <v>2.3183582917359891E-2</v>
      </c>
      <c r="HL17" s="32">
        <f t="shared" si="15"/>
        <v>2.4789729969012742E-2</v>
      </c>
      <c r="HM17" s="32">
        <f t="shared" si="15"/>
        <v>2.7555555555555555E-2</v>
      </c>
      <c r="HN17" s="32">
        <f t="shared" si="15"/>
        <v>2.7836309193745246E-2</v>
      </c>
      <c r="HO17" s="32">
        <f t="shared" si="15"/>
        <v>3.1467373302418222E-2</v>
      </c>
      <c r="HP17" s="32">
        <f t="shared" si="15"/>
        <v>3.0216459729700107E-2</v>
      </c>
      <c r="HQ17" s="32">
        <f t="shared" si="15"/>
        <v>3.331506849315069E-2</v>
      </c>
      <c r="HR17" s="32">
        <f t="shared" si="15"/>
        <v>3.6120840630472717E-2</v>
      </c>
      <c r="HS17" s="32">
        <f t="shared" si="15"/>
        <v>3.666300768386388E-2</v>
      </c>
      <c r="HT17" s="32">
        <f t="shared" si="15"/>
        <v>3.2713347921225377E-2</v>
      </c>
      <c r="HU17" s="32">
        <f t="shared" si="15"/>
        <v>3.0939105717721738E-2</v>
      </c>
      <c r="HV17" s="32">
        <f t="shared" si="15"/>
        <v>2.7477919528950068E-2</v>
      </c>
      <c r="HW17" s="32">
        <f t="shared" si="15"/>
        <v>1.6261925411968692E-2</v>
      </c>
      <c r="HX17" s="32">
        <f t="shared" si="15"/>
        <v>9.6112311015119634E-3</v>
      </c>
      <c r="HY17" s="32">
        <f t="shared" si="15"/>
        <v>6.3797577854669552E-3</v>
      </c>
      <c r="HZ17" s="32">
        <f t="shared" si="15"/>
        <v>8.2002589555458805E-3</v>
      </c>
      <c r="IA17" s="32">
        <f t="shared" si="15"/>
        <v>2.0338257332477294E-3</v>
      </c>
      <c r="IB17" s="32">
        <f t="shared" si="15"/>
        <v>-1.0665529010245312E-4</v>
      </c>
      <c r="IC17" s="32">
        <f t="shared" si="15"/>
        <v>-4.2422314137237072E-3</v>
      </c>
      <c r="ID17" s="32">
        <f t="shared" si="15"/>
        <v>-6.8666807521655659E-3</v>
      </c>
      <c r="IE17" s="32">
        <f t="shared" si="15"/>
        <v>-9.4239728928420252E-3</v>
      </c>
      <c r="IF17" s="32">
        <f t="shared" si="15"/>
        <v>-3.6020764911537384E-3</v>
      </c>
      <c r="IG17" s="32">
        <f t="shared" si="15"/>
        <v>-5.4082714740190108E-3</v>
      </c>
      <c r="IH17" s="32">
        <f t="shared" si="15"/>
        <v>-3.6081927199406172E-3</v>
      </c>
      <c r="II17" s="32">
        <f t="shared" si="15"/>
        <v>2.2402389588223048E-3</v>
      </c>
      <c r="IJ17" s="32">
        <f t="shared" si="15"/>
        <v>7.4874318108888449E-3</v>
      </c>
      <c r="IK17" s="32">
        <f t="shared" si="15"/>
        <v>9.4552487375094696E-3</v>
      </c>
      <c r="IL17" s="32">
        <f t="shared" si="15"/>
        <v>1.1344178082191902E-2</v>
      </c>
      <c r="IM17" s="32">
        <f t="shared" si="15"/>
        <v>1.4742014742014753E-2</v>
      </c>
      <c r="IN17" s="32">
        <f t="shared" si="15"/>
        <v>1.6000000000000014E-2</v>
      </c>
      <c r="IO17" s="32">
        <f t="shared" si="15"/>
        <v>1.5656619448290554E-2</v>
      </c>
      <c r="IP17" s="32">
        <f t="shared" si="15"/>
        <v>1.4147431124348353E-2</v>
      </c>
      <c r="IQ17" s="32">
        <f t="shared" si="15"/>
        <v>1.6034206306787757E-2</v>
      </c>
      <c r="IR17" s="32">
        <f t="shared" si="15"/>
        <v>1.3184476342371187E-2</v>
      </c>
      <c r="IS17" s="32">
        <f t="shared" si="15"/>
        <v>1.5033585670114036E-2</v>
      </c>
      <c r="IT17" s="32">
        <f t="shared" si="15"/>
        <v>1.5443604217701523E-2</v>
      </c>
      <c r="IU17" s="32">
        <f t="shared" si="15"/>
        <v>1.5114422565194241E-2</v>
      </c>
      <c r="IV17" s="32">
        <f t="shared" si="15"/>
        <v>1.7199278054995215E-2</v>
      </c>
      <c r="IW17" s="32">
        <f t="shared" si="15"/>
        <v>1.7243214475784807E-2</v>
      </c>
      <c r="IX17" s="32">
        <f t="shared" si="15"/>
        <v>1.6296296296296253E-2</v>
      </c>
      <c r="IY17" s="32">
        <f t="shared" si="15"/>
        <v>1.9896831245394209E-2</v>
      </c>
      <c r="IZ17" s="32">
        <f t="shared" si="15"/>
        <v>2.0787401574803299E-2</v>
      </c>
      <c r="JA17" s="32">
        <f t="shared" si="15"/>
        <v>2.0239093959731669E-2</v>
      </c>
      <c r="JB17" s="32">
        <f t="shared" si="15"/>
        <v>2.1187329557373458E-2</v>
      </c>
      <c r="JC17" s="32">
        <f t="shared" si="15"/>
        <v>1.9358232509205653E-2</v>
      </c>
      <c r="JD17" s="32">
        <f t="shared" si="15"/>
        <v>2.245776052051629E-2</v>
      </c>
      <c r="JE17" s="32">
        <f t="shared" si="15"/>
        <v>2.2478991596638576E-2</v>
      </c>
      <c r="JF17" s="32">
        <f t="shared" si="15"/>
        <v>2.3075309418921774E-2</v>
      </c>
      <c r="JG17" s="32">
        <f t="shared" si="15"/>
        <v>2.5060291496277642E-2</v>
      </c>
      <c r="JH17" s="32">
        <f t="shared" si="15"/>
        <v>2.4736457572278603E-2</v>
      </c>
      <c r="JI17" s="32">
        <f t="shared" si="15"/>
        <v>2.3333682117819388E-2</v>
      </c>
      <c r="JJ17" s="32">
        <f t="shared" si="15"/>
        <v>2.2698875468554647E-2</v>
      </c>
      <c r="JK17" s="32">
        <f t="shared" si="15"/>
        <v>2.2914946325350849E-2</v>
      </c>
      <c r="JL17" s="32">
        <f t="shared" si="15"/>
        <v>2.0466934073845477E-2</v>
      </c>
      <c r="JM17" s="32">
        <f t="shared" ref="JM17" si="22">JM5/JA5-1</f>
        <v>1.9118100524206039E-2</v>
      </c>
      <c r="JN17" s="32">
        <f t="shared" si="16"/>
        <v>1.8796220213640025E-2</v>
      </c>
      <c r="JO17" s="32">
        <f t="shared" si="16"/>
        <v>1.8887398080297269E-2</v>
      </c>
      <c r="JP17" s="32">
        <f t="shared" si="16"/>
        <v>2.0424920455711648E-2</v>
      </c>
      <c r="JQ17" s="32">
        <f t="shared" si="16"/>
        <v>1.8491884117526114E-2</v>
      </c>
      <c r="JR17" s="32">
        <f t="shared" si="16"/>
        <v>1.6916136969448381E-2</v>
      </c>
      <c r="JS17" s="32">
        <f t="shared" si="16"/>
        <v>1.288870703764311E-2</v>
      </c>
      <c r="JT17" s="32">
        <f t="shared" si="16"/>
        <v>1.1916887349765704E-2</v>
      </c>
      <c r="JU17" s="32">
        <f t="shared" si="16"/>
        <v>1.012269938650312E-2</v>
      </c>
      <c r="JV17" s="32">
        <f t="shared" si="16"/>
        <v>8.5522296884545934E-3</v>
      </c>
      <c r="JW17" s="32">
        <f t="shared" si="16"/>
        <v>7.8708375378406803E-3</v>
      </c>
      <c r="JX17" s="32">
        <f t="shared" si="16"/>
        <v>5.0393065914129398E-3</v>
      </c>
      <c r="JY17" s="32">
        <f t="shared" si="16"/>
        <v>6.2531517902166822E-3</v>
      </c>
      <c r="JZ17" s="32">
        <f t="shared" si="16"/>
        <v>7.5612460933562886E-3</v>
      </c>
      <c r="KA17" s="32">
        <f t="shared" si="16"/>
        <v>8.6102106969205838E-3</v>
      </c>
      <c r="KB17" s="32">
        <f t="shared" si="16"/>
        <v>6.1355864011265471E-3</v>
      </c>
      <c r="KC17" s="32">
        <f t="shared" si="16"/>
        <v>6.354649989913197E-3</v>
      </c>
      <c r="KD17" s="32">
        <f t="shared" si="16"/>
        <v>4.4359310414356923E-3</v>
      </c>
      <c r="KE17" s="32">
        <f t="shared" si="16"/>
        <v>5.6554231468390892E-3</v>
      </c>
      <c r="KF17" s="32">
        <f t="shared" si="16"/>
        <v>6.0392551585304322E-3</v>
      </c>
      <c r="KG17" s="32">
        <f t="shared" si="16"/>
        <v>5.0612410162971244E-3</v>
      </c>
      <c r="KH17" s="32">
        <f t="shared" si="16"/>
        <v>7.7730668281847937E-3</v>
      </c>
      <c r="KI17" s="32">
        <f t="shared" si="16"/>
        <v>4.3051661994393253E-3</v>
      </c>
      <c r="KJ17" s="32">
        <f t="shared" si="16"/>
        <v>5.515443241074891E-3</v>
      </c>
      <c r="KK17" s="32">
        <f t="shared" si="16"/>
        <v>5.2119875714142783E-3</v>
      </c>
      <c r="KL17" s="32">
        <f t="shared" si="16"/>
        <v>3.1018611166699905E-3</v>
      </c>
      <c r="KM17" s="32">
        <f t="shared" si="16"/>
        <v>3.3142512805062196E-3</v>
      </c>
      <c r="KN17" s="32">
        <f t="shared" si="16"/>
        <v>3.3989803059082391E-3</v>
      </c>
      <c r="KO17" s="32">
        <f t="shared" si="16"/>
        <v>1.804149543951139E-3</v>
      </c>
      <c r="KP17" s="32">
        <f t="shared" si="16"/>
        <v>3.5129980929440308E-3</v>
      </c>
      <c r="KQ17" s="32">
        <f t="shared" si="16"/>
        <v>2.10885720024101E-3</v>
      </c>
      <c r="KR17" s="32">
        <f t="shared" si="16"/>
        <v>-7.0035017508762731E-4</v>
      </c>
      <c r="KS17" s="32">
        <f t="shared" si="16"/>
        <v>-5.0357538523516654E-3</v>
      </c>
      <c r="KT17" s="32">
        <f t="shared" si="16"/>
        <v>-3.4057898427326538E-3</v>
      </c>
      <c r="KU17" s="32">
        <f t="shared" si="16"/>
        <v>-1.1962914963613569E-3</v>
      </c>
      <c r="KV17" s="32">
        <f t="shared" si="16"/>
        <v>3.98922908148025E-4</v>
      </c>
      <c r="KW17" s="32">
        <f t="shared" si="16"/>
        <v>2.7919034799082088E-3</v>
      </c>
      <c r="KX17" s="32">
        <f t="shared" si="16"/>
        <v>2.2942643391521411E-3</v>
      </c>
      <c r="KY17" s="32">
        <f t="shared" si="16"/>
        <v>1.3013013013012387E-3</v>
      </c>
      <c r="KZ17" s="32">
        <f t="shared" si="16"/>
        <v>0</v>
      </c>
      <c r="LA17" s="32">
        <f t="shared" si="16"/>
        <v>-1.0005002501256577E-4</v>
      </c>
      <c r="LB17" s="32">
        <f t="shared" si="16"/>
        <v>2.000400080015563E-4</v>
      </c>
      <c r="LC17" s="32">
        <f t="shared" si="16"/>
        <v>0</v>
      </c>
      <c r="LD17" s="32">
        <f t="shared" si="16"/>
        <v>1.5018021625952116E-3</v>
      </c>
      <c r="LE17" s="32">
        <f t="shared" si="16"/>
        <v>2.0244964065188054E-3</v>
      </c>
      <c r="LF17" s="32">
        <f t="shared" si="16"/>
        <v>-2.4123027439942879E-3</v>
      </c>
      <c r="LG17" s="32">
        <f t="shared" si="16"/>
        <v>-1.8963968459926317E-3</v>
      </c>
      <c r="LH17" s="32">
        <f t="shared" si="16"/>
        <v>-2.2928920346925175E-3</v>
      </c>
      <c r="LI17" s="32">
        <f t="shared" si="16"/>
        <v>-4.9716615292827449E-4</v>
      </c>
      <c r="LJ17" s="32">
        <f t="shared" si="16"/>
        <v>1.7914012738853291E-3</v>
      </c>
      <c r="LK17" s="32">
        <f t="shared" si="16"/>
        <v>2.1993401979405469E-3</v>
      </c>
      <c r="LL17" s="32">
        <f t="shared" si="16"/>
        <v>2.3911527348809969E-3</v>
      </c>
      <c r="LM17" s="32">
        <f t="shared" si="16"/>
        <v>4.0024014408646114E-3</v>
      </c>
      <c r="LN17" s="32">
        <f t="shared" si="16"/>
        <v>3.7000000000000366E-3</v>
      </c>
      <c r="LO17" s="32">
        <f t="shared" si="16"/>
        <v>5.6117847479706384E-3</v>
      </c>
      <c r="LP17" s="32">
        <f t="shared" si="16"/>
        <v>6.4980505848246661E-3</v>
      </c>
      <c r="LQ17" s="32">
        <f t="shared" si="16"/>
        <v>1.4344883321547597E-2</v>
      </c>
      <c r="LR17" s="32">
        <f t="shared" si="16"/>
        <v>1.2896725440806112E-2</v>
      </c>
      <c r="LS17" s="32">
        <f t="shared" si="16"/>
        <v>1.1900000000000022E-2</v>
      </c>
      <c r="LT17" s="32">
        <f t="shared" si="16"/>
        <v>1.1990407673860837E-2</v>
      </c>
      <c r="LU17" s="32">
        <f t="shared" si="16"/>
        <v>8.1575805809790403E-3</v>
      </c>
      <c r="LV17" s="32">
        <f t="shared" si="16"/>
        <v>6.8547585932843269E-3</v>
      </c>
      <c r="LW17" s="32">
        <f t="shared" si="16"/>
        <v>7.1820448877806253E-3</v>
      </c>
      <c r="LX17" s="32">
        <f t="shared" si="16"/>
        <v>9.2436139548752738E-3</v>
      </c>
      <c r="LY17" s="32">
        <f t="shared" ref="LY17" si="23">LY5/LM5-1</f>
        <v>1.0165437512457576E-2</v>
      </c>
      <c r="LZ17" s="32">
        <f t="shared" si="17"/>
        <v>1.0859818670917454E-2</v>
      </c>
      <c r="MA17" s="32">
        <f t="shared" si="17"/>
        <v>1.17588440458396E-2</v>
      </c>
      <c r="MB17" s="32">
        <f t="shared" si="17"/>
        <v>1.1521652761223633E-2</v>
      </c>
      <c r="MC17" s="32">
        <f t="shared" si="17"/>
        <v>1.3245692660093678E-2</v>
      </c>
      <c r="MD17" s="32">
        <f t="shared" si="17"/>
        <v>1.1538844126131487E-2</v>
      </c>
      <c r="ME17" s="32">
        <f t="shared" si="17"/>
        <v>1.3242415258424733E-2</v>
      </c>
      <c r="MF17" s="32">
        <f t="shared" si="17"/>
        <v>1.4119273301737678E-2</v>
      </c>
      <c r="MG17" s="32">
        <f t="shared" si="17"/>
        <v>1.8354055654233203E-2</v>
      </c>
      <c r="MH17" s="32">
        <f t="shared" si="17"/>
        <v>1.9141588554514088E-2</v>
      </c>
      <c r="MI17" s="32">
        <f t="shared" si="17"/>
        <v>2.188768941269692E-2</v>
      </c>
      <c r="MJ17" s="32">
        <f t="shared" si="17"/>
        <v>2.1666338388812267E-2</v>
      </c>
      <c r="MK17" s="32">
        <f t="shared" si="17"/>
        <v>2.1014206787687506E-2</v>
      </c>
      <c r="ML17" s="32">
        <f t="shared" si="17"/>
        <v>2.1190616991918043E-2</v>
      </c>
      <c r="MM17" s="32">
        <f t="shared" si="17"/>
        <v>1.8122722348074438E-2</v>
      </c>
      <c r="MN17" s="32">
        <f t="shared" si="17"/>
        <v>1.5121759622937825E-2</v>
      </c>
      <c r="MO17" s="32">
        <f t="shared" si="17"/>
        <v>1.1008452919205824E-2</v>
      </c>
      <c r="MP17" s="32">
        <f t="shared" si="17"/>
        <v>1.1702232274559909E-2</v>
      </c>
      <c r="MQ17" s="32">
        <f t="shared" si="17"/>
        <v>1.0631034819077456E-2</v>
      </c>
      <c r="MR17" s="32">
        <f t="shared" si="17"/>
        <v>1.2267549410962975E-2</v>
      </c>
      <c r="MS17" s="32">
        <f t="shared" si="17"/>
        <v>8.5271317829456184E-3</v>
      </c>
      <c r="MT17" s="32">
        <f t="shared" si="17"/>
        <v>1.0262368089843932E-2</v>
      </c>
      <c r="MU17" s="32">
        <f t="shared" si="17"/>
        <v>9.2072106997478365E-3</v>
      </c>
      <c r="MV17" s="32">
        <f t="shared" si="17"/>
        <v>8.6755349913245627E-3</v>
      </c>
      <c r="MW17" s="32">
        <f t="shared" si="17"/>
        <v>7.3437047057687277E-3</v>
      </c>
      <c r="MX17" s="32">
        <f t="shared" si="17"/>
        <v>5.6944310394750897E-3</v>
      </c>
      <c r="MY17" s="32">
        <f t="shared" si="17"/>
        <v>7.2554899874237577E-3</v>
      </c>
      <c r="MZ17" s="32">
        <f t="shared" si="17"/>
        <v>1.1994583091507138E-2</v>
      </c>
      <c r="NA17" s="32">
        <f t="shared" si="17"/>
        <v>1.2444098775034051E-2</v>
      </c>
      <c r="NB17" s="32">
        <f t="shared" si="17"/>
        <v>1.2150077760497702E-2</v>
      </c>
      <c r="NC17" s="32">
        <f t="shared" si="17"/>
        <v>3.9567651032619278E-3</v>
      </c>
      <c r="ND17" s="32">
        <f t="shared" si="17"/>
        <v>2.8854477253048572E-4</v>
      </c>
      <c r="NE17" s="32">
        <f t="shared" si="17"/>
        <v>7.68639508070601E-4</v>
      </c>
      <c r="NF17" s="32">
        <f t="shared" si="17"/>
        <v>-9.5831336847140847E-4</v>
      </c>
      <c r="NG17" s="32">
        <f t="shared" si="17"/>
        <v>5.1858254105445756E-3</v>
      </c>
      <c r="NH17" s="32">
        <f t="shared" si="17"/>
        <v>-6.6896024464835335E-4</v>
      </c>
      <c r="NI17" s="32">
        <f t="shared" si="17"/>
        <v>-2.5899280575538697E-3</v>
      </c>
      <c r="NJ17" s="32">
        <f t="shared" si="17"/>
        <v>-2.5911708253358867E-3</v>
      </c>
      <c r="NK17" s="32">
        <f t="shared" si="17"/>
        <v>-6.7230119093364404E-4</v>
      </c>
      <c r="NL17" s="32">
        <f t="shared" si="17"/>
        <v>-3.1542726056202897E-3</v>
      </c>
      <c r="NM17" s="32">
        <f t="shared" si="17"/>
        <v>2.9767620510849913E-3</v>
      </c>
      <c r="NN17" s="32">
        <f t="shared" si="17"/>
        <v>2.5929127052723988E-3</v>
      </c>
      <c r="NO17" s="32">
        <f t="shared" si="17"/>
        <v>1.0189368451408276E-2</v>
      </c>
      <c r="NP17" s="32">
        <f t="shared" si="17"/>
        <v>1.1538461538461497E-2</v>
      </c>
      <c r="NQ17" s="32">
        <f t="shared" si="17"/>
        <v>1.3632872503840154E-2</v>
      </c>
      <c r="NR17" s="32">
        <f t="shared" si="17"/>
        <v>1.4196642685851302E-2</v>
      </c>
      <c r="NS17" s="32">
        <f t="shared" si="17"/>
        <v>1.079583452756272E-2</v>
      </c>
      <c r="NT17" s="32">
        <f t="shared" si="17"/>
        <v>1.8456536291479475E-2</v>
      </c>
      <c r="NU17" s="32">
        <f t="shared" si="17"/>
        <v>2.1831121369494166E-2</v>
      </c>
      <c r="NV17" s="32">
        <f t="shared" si="17"/>
        <v>2.6941210430097229E-2</v>
      </c>
      <c r="NW17" s="32">
        <f t="shared" si="17"/>
        <v>3.0081691494473928E-2</v>
      </c>
      <c r="NX17" s="32">
        <f t="shared" si="17"/>
        <v>2.9820692300316365E-2</v>
      </c>
      <c r="NY17" s="32">
        <f t="shared" si="17"/>
        <v>3.1019626615605533E-2</v>
      </c>
      <c r="NZ17" s="32">
        <f t="shared" si="17"/>
        <v>3.9846743295019138E-2</v>
      </c>
      <c r="OA17" s="32">
        <f t="shared" si="17"/>
        <v>4.9005614235417161E-2</v>
      </c>
    </row>
    <row r="19" spans="1:395" x14ac:dyDescent="0.3">
      <c r="A19" s="35" t="s">
        <v>22</v>
      </c>
      <c r="B19" s="35" t="s">
        <v>23</v>
      </c>
      <c r="C19" s="35" t="s">
        <v>24</v>
      </c>
      <c r="D19" s="35" t="s">
        <v>25</v>
      </c>
    </row>
    <row r="20" spans="1:395" x14ac:dyDescent="0.3">
      <c r="A20" s="34" t="s">
        <v>461</v>
      </c>
      <c r="B20" s="34" t="s">
        <v>462</v>
      </c>
      <c r="C20" s="34" t="s">
        <v>413</v>
      </c>
      <c r="D20" s="34" t="s">
        <v>414</v>
      </c>
      <c r="LU20" s="35" t="s">
        <v>482</v>
      </c>
      <c r="LV20" t="str">
        <f>+LU20</f>
        <v>2017-T1</v>
      </c>
      <c r="LW20" t="str">
        <f>+LV20</f>
        <v>2017-T1</v>
      </c>
      <c r="LX20" s="35" t="s">
        <v>483</v>
      </c>
      <c r="LY20" t="str">
        <f>+LX20</f>
        <v>2017-T2</v>
      </c>
      <c r="LZ20" t="str">
        <f>+LY20</f>
        <v>2017-T2</v>
      </c>
      <c r="MA20" s="35" t="s">
        <v>484</v>
      </c>
      <c r="MB20" t="str">
        <f>+MA20</f>
        <v>2017-T3</v>
      </c>
      <c r="MC20" t="str">
        <f>+MB20</f>
        <v>2017-T3</v>
      </c>
      <c r="MD20" s="35" t="s">
        <v>443</v>
      </c>
      <c r="ME20" t="str">
        <f>+MD20</f>
        <v>2017-T4</v>
      </c>
      <c r="MF20" t="str">
        <f>+ME20</f>
        <v>2017-T4</v>
      </c>
      <c r="MG20" s="35" t="s">
        <v>444</v>
      </c>
      <c r="MH20" t="str">
        <f>+MG20</f>
        <v>2018-T1</v>
      </c>
      <c r="MI20" t="str">
        <f>+MH20</f>
        <v>2018-T1</v>
      </c>
      <c r="MJ20" s="35" t="s">
        <v>445</v>
      </c>
      <c r="MK20" t="str">
        <f>+MJ20</f>
        <v>2018-T2</v>
      </c>
      <c r="ML20" t="str">
        <f>+MK20</f>
        <v>2018-T2</v>
      </c>
      <c r="MM20" s="35" t="s">
        <v>446</v>
      </c>
      <c r="MN20" t="str">
        <f>+MM20</f>
        <v>2018-T3</v>
      </c>
      <c r="MO20" t="str">
        <f>+MN20</f>
        <v>2018-T3</v>
      </c>
      <c r="MP20" s="35" t="s">
        <v>447</v>
      </c>
      <c r="MQ20" t="str">
        <f>+MP20</f>
        <v>2018-T4</v>
      </c>
      <c r="MR20" t="str">
        <f>+MQ20</f>
        <v>2018-T4</v>
      </c>
      <c r="MS20" s="35" t="s">
        <v>448</v>
      </c>
      <c r="MT20" t="str">
        <f>+MS20</f>
        <v>2019-T1</v>
      </c>
      <c r="MU20" t="str">
        <f>+MT20</f>
        <v>2019-T1</v>
      </c>
      <c r="MV20" s="35" t="s">
        <v>449</v>
      </c>
      <c r="MW20" t="str">
        <f>+MV20</f>
        <v>2019-T2</v>
      </c>
      <c r="MX20" t="str">
        <f>+MW20</f>
        <v>2019-T2</v>
      </c>
      <c r="MY20" s="35" t="s">
        <v>450</v>
      </c>
      <c r="MZ20" t="str">
        <f>+MY20</f>
        <v>2019-T3</v>
      </c>
      <c r="NA20" t="str">
        <f>+MZ20</f>
        <v>2019-T3</v>
      </c>
      <c r="NB20" s="35" t="s">
        <v>451</v>
      </c>
      <c r="NC20" t="str">
        <f>+NB20</f>
        <v>2019-T4</v>
      </c>
      <c r="ND20" t="str">
        <f>+NC20</f>
        <v>2019-T4</v>
      </c>
      <c r="NE20" s="35" t="s">
        <v>452</v>
      </c>
      <c r="NF20" t="str">
        <f>+NE20</f>
        <v>2020-T1</v>
      </c>
      <c r="NG20" t="str">
        <f>+NF20</f>
        <v>2020-T1</v>
      </c>
      <c r="NH20" s="35" t="s">
        <v>453</v>
      </c>
      <c r="NI20" t="str">
        <f>+NH20</f>
        <v>2020-T2</v>
      </c>
      <c r="NJ20" t="str">
        <f>+NI20</f>
        <v>2020-T2</v>
      </c>
      <c r="NK20" s="35" t="s">
        <v>454</v>
      </c>
      <c r="NL20" t="str">
        <f>+NK20</f>
        <v>2020-T3</v>
      </c>
      <c r="NM20" t="str">
        <f>+NL20</f>
        <v>2020-T3</v>
      </c>
      <c r="NN20" s="35" t="s">
        <v>455</v>
      </c>
      <c r="NO20" t="str">
        <f>+NN20</f>
        <v>2020-T4</v>
      </c>
      <c r="NP20" t="str">
        <f>+NO20</f>
        <v>2020-T4</v>
      </c>
      <c r="NQ20" s="35" t="s">
        <v>456</v>
      </c>
      <c r="NR20" t="str">
        <f>+NQ20</f>
        <v>2021-T1</v>
      </c>
      <c r="NS20" t="str">
        <f>+NR20</f>
        <v>2021-T1</v>
      </c>
      <c r="NT20" s="35" t="s">
        <v>457</v>
      </c>
      <c r="NU20" t="str">
        <f>+NT20</f>
        <v>2021-T2</v>
      </c>
      <c r="NV20" t="str">
        <f>+NU20</f>
        <v>2021-T2</v>
      </c>
      <c r="NW20" s="35" t="s">
        <v>458</v>
      </c>
      <c r="NX20" t="str">
        <f>+NW20</f>
        <v>2021-T3</v>
      </c>
      <c r="NY20" t="str">
        <f>+NX20</f>
        <v>2021-T3</v>
      </c>
      <c r="NZ20" s="35" t="s">
        <v>459</v>
      </c>
      <c r="OA20" t="str">
        <f>+NZ20</f>
        <v>2021-T4</v>
      </c>
      <c r="OB20" t="str">
        <f>+OA20</f>
        <v>2021-T4</v>
      </c>
      <c r="OC20" s="35" t="s">
        <v>460</v>
      </c>
      <c r="OD20" t="str">
        <f>+OC20</f>
        <v>2022-T1</v>
      </c>
      <c r="OE20" t="str">
        <f>+OD20</f>
        <v>2022-T1</v>
      </c>
    </row>
    <row r="21" spans="1:395" ht="22.8" x14ac:dyDescent="0.3">
      <c r="A21" s="36" t="s">
        <v>414</v>
      </c>
      <c r="B21" s="36" t="s">
        <v>414</v>
      </c>
      <c r="C21" s="36" t="s">
        <v>414</v>
      </c>
      <c r="D21" s="36" t="s">
        <v>463</v>
      </c>
      <c r="LU21" s="37">
        <v>0.51</v>
      </c>
      <c r="LV21">
        <f t="shared" ref="LV21:LW22" si="24">+LU21</f>
        <v>0.51</v>
      </c>
      <c r="LW21">
        <f t="shared" si="24"/>
        <v>0.51</v>
      </c>
      <c r="LX21" s="37">
        <v>0.75</v>
      </c>
      <c r="LY21">
        <f t="shared" ref="LY21:LZ21" si="25">+LX21</f>
        <v>0.75</v>
      </c>
      <c r="LZ21">
        <f t="shared" si="25"/>
        <v>0.75</v>
      </c>
      <c r="MA21" s="38">
        <v>0.9</v>
      </c>
      <c r="MB21">
        <f t="shared" ref="MB21:MC21" si="26">+MA21</f>
        <v>0.9</v>
      </c>
      <c r="MC21">
        <f t="shared" si="26"/>
        <v>0.9</v>
      </c>
      <c r="MD21" s="37">
        <v>1.05</v>
      </c>
      <c r="ME21">
        <f t="shared" ref="ME21:MF21" si="27">+MD21</f>
        <v>1.05</v>
      </c>
      <c r="MF21">
        <f t="shared" si="27"/>
        <v>1.05</v>
      </c>
      <c r="MG21" s="37">
        <v>1.05</v>
      </c>
      <c r="MH21">
        <f t="shared" ref="MH21:MI21" si="28">+MG21</f>
        <v>1.05</v>
      </c>
      <c r="MI21">
        <f t="shared" si="28"/>
        <v>1.05</v>
      </c>
      <c r="MJ21" s="37">
        <v>1.25</v>
      </c>
      <c r="MK21">
        <f t="shared" ref="MK21:ML21" si="29">+MJ21</f>
        <v>1.25</v>
      </c>
      <c r="ML21">
        <f t="shared" si="29"/>
        <v>1.25</v>
      </c>
      <c r="MM21" s="37">
        <v>1.57</v>
      </c>
      <c r="MN21">
        <f t="shared" ref="MN21:MO21" si="30">+MM21</f>
        <v>1.57</v>
      </c>
      <c r="MO21">
        <f t="shared" si="30"/>
        <v>1.57</v>
      </c>
      <c r="MP21" s="37">
        <v>1.74</v>
      </c>
      <c r="MQ21">
        <f t="shared" ref="MQ21:MR21" si="31">+MP21</f>
        <v>1.74</v>
      </c>
      <c r="MR21">
        <f t="shared" si="31"/>
        <v>1.74</v>
      </c>
      <c r="MS21" s="38">
        <v>1.7</v>
      </c>
      <c r="MT21">
        <f t="shared" ref="MT21:MU21" si="32">+MS21</f>
        <v>1.7</v>
      </c>
      <c r="MU21">
        <f t="shared" si="32"/>
        <v>1.7</v>
      </c>
      <c r="MV21" s="37">
        <v>1.53</v>
      </c>
      <c r="MW21">
        <f t="shared" ref="MW21:MX21" si="33">+MV21</f>
        <v>1.53</v>
      </c>
      <c r="MX21">
        <f t="shared" si="33"/>
        <v>1.53</v>
      </c>
      <c r="MY21" s="38">
        <v>1.2</v>
      </c>
      <c r="MZ21">
        <f t="shared" ref="MZ21:NA21" si="34">+MY21</f>
        <v>1.2</v>
      </c>
      <c r="NA21">
        <f t="shared" si="34"/>
        <v>1.2</v>
      </c>
      <c r="NB21" s="37">
        <v>0.95</v>
      </c>
      <c r="NC21">
        <f t="shared" ref="NC21:ND21" si="35">+NB21</f>
        <v>0.95</v>
      </c>
      <c r="ND21">
        <f t="shared" si="35"/>
        <v>0.95</v>
      </c>
      <c r="NE21" s="37">
        <v>0.92</v>
      </c>
      <c r="NF21">
        <f t="shared" ref="NF21:NG21" si="36">+NE21</f>
        <v>0.92</v>
      </c>
      <c r="NG21">
        <f t="shared" si="36"/>
        <v>0.92</v>
      </c>
      <c r="NH21" s="37">
        <v>0.66</v>
      </c>
      <c r="NI21">
        <f t="shared" ref="NI21:NJ21" si="37">+NH21</f>
        <v>0.66</v>
      </c>
      <c r="NJ21">
        <f t="shared" si="37"/>
        <v>0.66</v>
      </c>
      <c r="NK21" s="37">
        <v>0.46</v>
      </c>
      <c r="NL21">
        <f t="shared" ref="NL21:NM21" si="38">+NK21</f>
        <v>0.46</v>
      </c>
      <c r="NM21">
        <f t="shared" si="38"/>
        <v>0.46</v>
      </c>
      <c r="NN21" s="38">
        <v>0.2</v>
      </c>
      <c r="NO21">
        <f t="shared" ref="NO21:NP21" si="39">+NN21</f>
        <v>0.2</v>
      </c>
      <c r="NP21">
        <f t="shared" si="39"/>
        <v>0.2</v>
      </c>
      <c r="NQ21" s="37">
        <v>0.09</v>
      </c>
      <c r="NR21">
        <f t="shared" ref="NR21:NS21" si="40">+NQ21</f>
        <v>0.09</v>
      </c>
      <c r="NS21">
        <f t="shared" si="40"/>
        <v>0.09</v>
      </c>
      <c r="NT21" s="37">
        <v>0.42</v>
      </c>
      <c r="NU21">
        <f t="shared" ref="NU21:NV21" si="41">+NT21</f>
        <v>0.42</v>
      </c>
      <c r="NV21">
        <f t="shared" si="41"/>
        <v>0.42</v>
      </c>
      <c r="NW21" s="37">
        <v>0.83</v>
      </c>
      <c r="NX21">
        <f t="shared" ref="NX21:NY21" si="42">+NW21</f>
        <v>0.83</v>
      </c>
      <c r="NY21">
        <f t="shared" si="42"/>
        <v>0.83</v>
      </c>
      <c r="NZ21" s="37">
        <v>1.61</v>
      </c>
      <c r="OA21">
        <f t="shared" ref="OA21:OB21" si="43">+NZ21</f>
        <v>1.61</v>
      </c>
      <c r="OB21">
        <f t="shared" si="43"/>
        <v>1.61</v>
      </c>
      <c r="OC21" s="37">
        <v>2.48</v>
      </c>
      <c r="OD21">
        <f t="shared" ref="OD21:OE21" si="44">+OC21</f>
        <v>2.48</v>
      </c>
      <c r="OE21">
        <f t="shared" si="44"/>
        <v>2.48</v>
      </c>
    </row>
    <row r="22" spans="1:395" x14ac:dyDescent="0.3">
      <c r="LU22" s="36" t="s">
        <v>485</v>
      </c>
      <c r="LV22" t="str">
        <f t="shared" si="24"/>
        <v>14/04/2017</v>
      </c>
      <c r="LW22" t="str">
        <f t="shared" si="24"/>
        <v>14/04/2017</v>
      </c>
      <c r="LX22" s="36" t="s">
        <v>486</v>
      </c>
      <c r="LY22" t="str">
        <f t="shared" ref="LY22:LZ22" si="45">+LX22</f>
        <v>16/07/2017</v>
      </c>
      <c r="LZ22" t="str">
        <f t="shared" si="45"/>
        <v>16/07/2017</v>
      </c>
      <c r="MA22" s="36" t="s">
        <v>487</v>
      </c>
      <c r="MB22" t="str">
        <f t="shared" ref="MB22:MC22" si="46">+MA22</f>
        <v>13/10/2017</v>
      </c>
      <c r="MC22" t="str">
        <f t="shared" si="46"/>
        <v>13/10/2017</v>
      </c>
      <c r="MD22" s="36" t="s">
        <v>464</v>
      </c>
      <c r="ME22" t="str">
        <f t="shared" ref="ME22:MF22" si="47">+MD22</f>
        <v>13/01/2018</v>
      </c>
      <c r="MF22" t="str">
        <f t="shared" si="47"/>
        <v>13/01/2018</v>
      </c>
      <c r="MG22" s="36" t="s">
        <v>465</v>
      </c>
      <c r="MH22" t="str">
        <f t="shared" ref="MH22:MI22" si="48">+MG22</f>
        <v>13/04/2018</v>
      </c>
      <c r="MI22" t="str">
        <f t="shared" si="48"/>
        <v>13/04/2018</v>
      </c>
      <c r="MJ22" s="36" t="s">
        <v>466</v>
      </c>
      <c r="MK22" t="str">
        <f t="shared" ref="MK22:ML22" si="49">+MJ22</f>
        <v>13/07/2018</v>
      </c>
      <c r="ML22" t="str">
        <f t="shared" si="49"/>
        <v>13/07/2018</v>
      </c>
      <c r="MM22" s="36" t="s">
        <v>467</v>
      </c>
      <c r="MN22" t="str">
        <f t="shared" ref="MN22:MO22" si="50">+MM22</f>
        <v>28/11/2018</v>
      </c>
      <c r="MO22" t="str">
        <f t="shared" si="50"/>
        <v>28/11/2018</v>
      </c>
      <c r="MP22" s="36" t="s">
        <v>468</v>
      </c>
      <c r="MQ22" t="str">
        <f t="shared" ref="MQ22:MR22" si="51">+MP22</f>
        <v>16/01/2019</v>
      </c>
      <c r="MR22" t="str">
        <f t="shared" si="51"/>
        <v>16/01/2019</v>
      </c>
      <c r="MS22" s="36" t="s">
        <v>469</v>
      </c>
      <c r="MT22" t="str">
        <f t="shared" ref="MT22:MU22" si="52">+MS22</f>
        <v>12/04/2019</v>
      </c>
      <c r="MU22" t="str">
        <f t="shared" si="52"/>
        <v>12/04/2019</v>
      </c>
      <c r="MV22" s="36" t="s">
        <v>470</v>
      </c>
      <c r="MW22" t="str">
        <f t="shared" ref="MW22:MX22" si="53">+MV22</f>
        <v>17/07/2019</v>
      </c>
      <c r="MX22" t="str">
        <f t="shared" si="53"/>
        <v>17/07/2019</v>
      </c>
      <c r="MY22" s="36" t="s">
        <v>471</v>
      </c>
      <c r="MZ22" t="str">
        <f t="shared" ref="MZ22:NA22" si="54">+MY22</f>
        <v>16/10/2019</v>
      </c>
      <c r="NA22" t="str">
        <f t="shared" si="54"/>
        <v>16/10/2019</v>
      </c>
      <c r="NB22" s="36" t="s">
        <v>472</v>
      </c>
      <c r="NC22" t="str">
        <f t="shared" ref="NC22:ND22" si="55">+NB22</f>
        <v>16/01/2020</v>
      </c>
      <c r="ND22" t="str">
        <f t="shared" si="55"/>
        <v>16/01/2020</v>
      </c>
      <c r="NE22" s="36" t="s">
        <v>473</v>
      </c>
      <c r="NF22" t="str">
        <f t="shared" ref="NF22:NG22" si="56">+NE22</f>
        <v>25/06/2020</v>
      </c>
      <c r="NG22" t="str">
        <f t="shared" si="56"/>
        <v>25/06/2020</v>
      </c>
      <c r="NH22" s="36" t="s">
        <v>474</v>
      </c>
      <c r="NI22" t="str">
        <f t="shared" ref="NI22:NJ22" si="57">+NH22</f>
        <v>17/07/2020</v>
      </c>
      <c r="NJ22" t="str">
        <f t="shared" si="57"/>
        <v>17/07/2020</v>
      </c>
      <c r="NK22" s="36" t="s">
        <v>475</v>
      </c>
      <c r="NL22" t="str">
        <f t="shared" ref="NL22:NM22" si="58">+NK22</f>
        <v>16/10/2020</v>
      </c>
      <c r="NM22" t="str">
        <f t="shared" si="58"/>
        <v>16/10/2020</v>
      </c>
      <c r="NN22" s="36" t="s">
        <v>476</v>
      </c>
      <c r="NO22" t="str">
        <f t="shared" ref="NO22:NP22" si="59">+NN22</f>
        <v>17/01/2021</v>
      </c>
      <c r="NP22" t="str">
        <f t="shared" si="59"/>
        <v>17/01/2021</v>
      </c>
      <c r="NQ22" s="36" t="s">
        <v>477</v>
      </c>
      <c r="NR22" t="str">
        <f t="shared" ref="NR22:NS22" si="60">+NQ22</f>
        <v>17/04/2021</v>
      </c>
      <c r="NS22" t="str">
        <f t="shared" si="60"/>
        <v>17/04/2021</v>
      </c>
      <c r="NT22" s="36" t="s">
        <v>478</v>
      </c>
      <c r="NU22" t="str">
        <f t="shared" ref="NU22:NV22" si="61">+NT22</f>
        <v>16/07/2021</v>
      </c>
      <c r="NV22" t="str">
        <f t="shared" si="61"/>
        <v>16/07/2021</v>
      </c>
      <c r="NW22" s="36" t="s">
        <v>479</v>
      </c>
      <c r="NX22" t="str">
        <f t="shared" ref="NX22:NY22" si="62">+NW22</f>
        <v>16/10/2021</v>
      </c>
      <c r="NY22" t="str">
        <f t="shared" si="62"/>
        <v>16/10/2021</v>
      </c>
      <c r="NZ22" s="36" t="s">
        <v>480</v>
      </c>
      <c r="OA22" t="str">
        <f t="shared" ref="OA22:OB22" si="63">+NZ22</f>
        <v>15/01/2022</v>
      </c>
      <c r="OB22" t="str">
        <f t="shared" si="63"/>
        <v>15/01/2022</v>
      </c>
      <c r="OC22" s="36" t="s">
        <v>481</v>
      </c>
      <c r="OD22" t="str">
        <f t="shared" ref="OD22:OE22" si="64">+OC22</f>
        <v>16/04/2022</v>
      </c>
      <c r="OE22" t="str">
        <f t="shared" si="64"/>
        <v>16/04/2022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Règles Indexation</vt:lpstr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PiM</dc:creator>
  <cp:lastModifiedBy>PiM</cp:lastModifiedBy>
  <dcterms:created xsi:type="dcterms:W3CDTF">2022-05-05T08:41:41Z</dcterms:created>
  <dcterms:modified xsi:type="dcterms:W3CDTF">2022-05-09T13:48:17Z</dcterms:modified>
</cp:coreProperties>
</file>